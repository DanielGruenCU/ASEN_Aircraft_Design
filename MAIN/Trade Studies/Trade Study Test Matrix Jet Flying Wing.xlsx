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book.xml" ContentType="application/vnd.openxmlformats-officedocument.spreadsheetml.sheet.main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ref &amp; AR 1" sheetId="1" state="visible" r:id="rId2"/>
    <sheet name="Trade Study 1" sheetId="2" state="visible" r:id="rId3"/>
    <sheet name="Trade Study 2" sheetId="3" state="visible" r:id="rId4"/>
    <sheet name="STDATM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39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John Mah:
</t>
        </r>
        <r>
          <rPr>
            <sz val="9"/>
            <color rgb="FF000000"/>
            <rFont val="Tahoma"/>
            <family val="0"/>
            <charset val="1"/>
          </rPr>
          <t xml:space="preserve">User defined independent variable adjusting for in trade.  Can be single or multiple.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39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John Mah:
</t>
        </r>
        <r>
          <rPr>
            <sz val="9"/>
            <color rgb="FF000000"/>
            <rFont val="Tahoma"/>
            <family val="0"/>
            <charset val="1"/>
          </rPr>
          <t xml:space="preserve">User defined independent variable adjusting for in trade.  Can be single or multiple.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39" authorId="0">
      <text>
        <r>
          <rPr>
            <b val="true"/>
            <sz val="9"/>
            <color rgb="FF000000"/>
            <rFont val="Tahoma"/>
            <family val="0"/>
            <charset val="1"/>
          </rPr>
          <t xml:space="preserve">John Mah:
</t>
        </r>
        <r>
          <rPr>
            <sz val="9"/>
            <color rgb="FF000000"/>
            <rFont val="Tahoma"/>
            <family val="0"/>
            <charset val="1"/>
          </rPr>
          <t xml:space="preserve">User defined independent variable adjusting for in trade.  Can be single or multiple.</t>
        </r>
      </text>
    </comment>
  </commentList>
</comments>
</file>

<file path=xl/sharedStrings.xml><?xml version="1.0" encoding="utf-8"?>
<sst xmlns="http://schemas.openxmlformats.org/spreadsheetml/2006/main" count="225" uniqueCount="84">
  <si>
    <t xml:space="preserve">Trade Study Name: Planform Area and Aspect Ratio</t>
  </si>
  <si>
    <t xml:space="preserve">Flight Conditions for Trade Study</t>
  </si>
  <si>
    <t xml:space="preserve">Parameter</t>
  </si>
  <si>
    <t xml:space="preserve">Subsonic</t>
  </si>
  <si>
    <t xml:space="preserve">Transonic</t>
  </si>
  <si>
    <t xml:space="preserve">Supersonic</t>
  </si>
  <si>
    <t xml:space="preserve">Altitude (ft) in 500ft increments</t>
  </si>
  <si>
    <t xml:space="preserve">Density (slug/ft^3)</t>
  </si>
  <si>
    <t xml:space="preserve">Viscosity  (lb*s/ft^2)</t>
  </si>
  <si>
    <t xml:space="preserve">Speed of Sound (ft/s)</t>
  </si>
  <si>
    <t xml:space="preserve">Machs tested</t>
  </si>
  <si>
    <t xml:space="preserve">Velocity (ft/s)</t>
  </si>
  <si>
    <t xml:space="preserve">Re</t>
  </si>
  <si>
    <t xml:space="preserve">Angle of Attack Range</t>
  </si>
  <si>
    <t xml:space="preserve">-5 deg to 12 deg</t>
  </si>
  <si>
    <t xml:space="preserve">Aircraft Baseline Configuration for Trade Study (align with OpenVSP geometry component names)</t>
  </si>
  <si>
    <t xml:space="preserve">Overall Configuration Baseline</t>
  </si>
  <si>
    <t xml:space="preserve">JetSubmersible_can1</t>
  </si>
  <si>
    <t xml:space="preserve">Fuselage component version</t>
  </si>
  <si>
    <t xml:space="preserve">Tail component version</t>
  </si>
  <si>
    <t xml:space="preserve">Engine inlet version</t>
  </si>
  <si>
    <t xml:space="preserve">Wing version</t>
  </si>
  <si>
    <t xml:space="preserve">Design Variables held Constant for Trade Study</t>
  </si>
  <si>
    <t xml:space="preserve">Sweep</t>
  </si>
  <si>
    <t xml:space="preserve">Varies</t>
  </si>
  <si>
    <t xml:space="preserve">deg</t>
  </si>
  <si>
    <t xml:space="preserve">Taper</t>
  </si>
  <si>
    <t xml:space="preserve">t/c (airfoil)</t>
  </si>
  <si>
    <t xml:space="preserve">NACA 0009</t>
  </si>
  <si>
    <t xml:space="preserve">Dihedral</t>
  </si>
  <si>
    <t xml:space="preserve">Twist</t>
  </si>
  <si>
    <t xml:space="preserve">Fuselage Length</t>
  </si>
  <si>
    <t xml:space="preserve">ft</t>
  </si>
  <si>
    <t xml:space="preserve">Crew Weight</t>
  </si>
  <si>
    <t xml:space="preserve">lb</t>
  </si>
  <si>
    <t xml:space="preserve">Fixed Payload</t>
  </si>
  <si>
    <t xml:space="preserve">Total Uninstalled Thrust</t>
  </si>
  <si>
    <t xml:space="preserve">Analysis Method / Models</t>
  </si>
  <si>
    <t xml:space="preserve">Aerodynamics Model</t>
  </si>
  <si>
    <t xml:space="preserve">VSPAERO - VLM Method, VSP - Parasite Drag (Blausius-Lam &amp; Turb), VSP - Wave Drag (Whitcomb)</t>
  </si>
  <si>
    <t xml:space="preserve">Mission Sizing Model</t>
  </si>
  <si>
    <t xml:space="preserve">Raymer First Order Weight Estimation Method</t>
  </si>
  <si>
    <t xml:space="preserve">Performance Sizing Model</t>
  </si>
  <si>
    <t xml:space="preserve">Brandt, Whitford Constraint Analysis Method</t>
  </si>
  <si>
    <t xml:space="preserve">Trade Study Data Capture</t>
  </si>
  <si>
    <t xml:space="preserve">Variable 1</t>
  </si>
  <si>
    <t xml:space="preserve">Variable 2 (Optional)</t>
  </si>
  <si>
    <t xml:space="preserve">Mission Analysis  Critical Metrics</t>
  </si>
  <si>
    <t xml:space="preserve">Constraint Analysis Critical Metrics</t>
  </si>
  <si>
    <t xml:space="preserve">Test Case</t>
  </si>
  <si>
    <t xml:space="preserve">Sref</t>
  </si>
  <si>
    <t xml:space="preserve">AR</t>
  </si>
  <si>
    <t xml:space="preserve">Wo</t>
  </si>
  <si>
    <t xml:space="preserve">Wf</t>
  </si>
  <si>
    <t xml:space="preserve">Current DP W/S</t>
  </si>
  <si>
    <t xml:space="preserve">Current DP T/W</t>
  </si>
  <si>
    <t xml:space="preserve">W/S opt</t>
  </si>
  <si>
    <t xml:space="preserve">T/W opt</t>
  </si>
  <si>
    <t xml:space="preserve">Limiting Requirements</t>
  </si>
  <si>
    <t xml:space="preserve">Fail</t>
  </si>
  <si>
    <t xml:space="preserve">Pass slim margin</t>
  </si>
  <si>
    <t xml:space="preserve">Pass medium margin</t>
  </si>
  <si>
    <t xml:space="preserve">Pass high margin</t>
  </si>
  <si>
    <t xml:space="preserve">Trade Study Name:</t>
  </si>
  <si>
    <t xml:space="preserve">Dash 1.0</t>
  </si>
  <si>
    <t xml:space="preserve">Keep close tabs on iteration version for your aircraft as you go through your trade study iterations!</t>
  </si>
  <si>
    <t xml:space="preserve">Wf or Wbatt</t>
  </si>
  <si>
    <t xml:space="preserve">ft^2</t>
  </si>
  <si>
    <t xml:space="preserve">Biconvex</t>
  </si>
  <si>
    <t xml:space="preserve">MAC</t>
  </si>
  <si>
    <t xml:space="preserve">(Actually varies w/ AR and taper, but using representative case just to estimate Re)</t>
  </si>
  <si>
    <t xml:space="preserve">No changes to other aircraft components</t>
  </si>
  <si>
    <t xml:space="preserve">Altitude</t>
  </si>
  <si>
    <t xml:space="preserve">Temperature</t>
  </si>
  <si>
    <t xml:space="preserve">Pressure</t>
  </si>
  <si>
    <t xml:space="preserve">Density</t>
  </si>
  <si>
    <t xml:space="preserve">Speed of sound</t>
  </si>
  <si>
    <t xml:space="preserve"> Viscosity</t>
  </si>
  <si>
    <t xml:space="preserve">[ft]</t>
  </si>
  <si>
    <t xml:space="preserve">[Rankine]</t>
  </si>
  <si>
    <t xml:space="preserve">[pound-force/sq. foot]</t>
  </si>
  <si>
    <t xml:space="preserve">[slug/ft3]</t>
  </si>
  <si>
    <t xml:space="preserve">[ft/s]</t>
  </si>
  <si>
    <t xml:space="preserve">[lb.sec/ft^2]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</si>
</sst>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0E+00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6"/>
      <color rgb="FFFFFFFF"/>
      <name val="Calibri"/>
      <family val="2"/>
      <charset val="1"/>
    </font>
    <font>
      <sz val="11"/>
      <color rgb="FFFFFFFF"/>
      <name val="Calibri"/>
      <family val="2"/>
      <charset val="1"/>
    </font>
    <font>
      <b val="true"/>
      <sz val="9"/>
      <color rgb="FF000000"/>
      <name val="Tahoma"/>
      <family val="0"/>
      <charset val="1"/>
    </font>
    <font>
      <sz val="9"/>
      <color rgb="FF000000"/>
      <name val="Tahoma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BFBFBF"/>
        <bgColor rgb="FFAFD095"/>
      </patternFill>
    </fill>
    <fill>
      <patternFill patternType="solid">
        <fgColor rgb="FFDEEBF7"/>
        <bgColor rgb="FFE2F0D9"/>
      </patternFill>
    </fill>
    <fill>
      <patternFill patternType="solid">
        <fgColor rgb="FF92D050"/>
        <bgColor rgb="FF77BC65"/>
      </patternFill>
    </fill>
    <fill>
      <patternFill patternType="solid">
        <fgColor rgb="FFFFE699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rgb="FF000000"/>
        <bgColor rgb="FF003300"/>
      </patternFill>
    </fill>
    <fill>
      <patternFill patternType="solid">
        <fgColor rgb="FFD9D9D9"/>
        <bgColor rgb="FFDDE8CB"/>
      </patternFill>
    </fill>
    <fill>
      <patternFill patternType="solid">
        <fgColor rgb="FFFFC000"/>
        <bgColor rgb="FFFF9900"/>
      </patternFill>
    </fill>
    <fill>
      <patternFill patternType="solid">
        <fgColor rgb="FFE2F0D9"/>
        <bgColor rgb="FFDDE8CB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E2F0D9"/>
      </patternFill>
    </fill>
    <fill>
      <patternFill patternType="solid">
        <fgColor rgb="FFDDE8CB"/>
        <bgColor rgb="FFE2F0D9"/>
      </patternFill>
    </fill>
    <fill>
      <patternFill patternType="solid">
        <fgColor rgb="FFAFD095"/>
        <bgColor rgb="FFBFBFBF"/>
      </patternFill>
    </fill>
    <fill>
      <patternFill patternType="solid">
        <fgColor rgb="FF77BC65"/>
        <bgColor rgb="FF92D05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DDE8CB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E699"/>
      <rgbColor rgb="FFAFD095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00"/>
  <sheetViews>
    <sheetView showFormulas="false" showGridLines="true" showRowColHeaders="true" showZeros="true" rightToLeft="false" tabSelected="true" showOutlineSymbols="true" defaultGridColor="true" view="normal" topLeftCell="A37" colorId="64" zoomScale="100" zoomScaleNormal="100" zoomScalePageLayoutView="100" workbookViewId="0">
      <selection pane="topLeft" activeCell="J48" activeCellId="0" sqref="J48"/>
    </sheetView>
  </sheetViews>
  <sheetFormatPr defaultRowHeight="14.4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7.11"/>
    <col collapsed="false" customWidth="true" hidden="false" outlineLevel="0" max="3" min="3" style="0" width="15.44"/>
    <col collapsed="false" customWidth="true" hidden="false" outlineLevel="0" max="5" min="4" style="0" width="15.78"/>
    <col collapsed="false" customWidth="true" hidden="false" outlineLevel="0" max="6" min="6" style="0" width="17"/>
    <col collapsed="false" customWidth="true" hidden="false" outlineLevel="0" max="7" min="7" style="0" width="16.78"/>
    <col collapsed="false" customWidth="true" hidden="false" outlineLevel="0" max="9" min="8" style="0" width="10.77"/>
    <col collapsed="false" customWidth="true" hidden="false" outlineLevel="0" max="10" min="10" style="0" width="34.11"/>
    <col collapsed="false" customWidth="true" hidden="false" outlineLevel="0" max="1025" min="11" style="0" width="8.54"/>
  </cols>
  <sheetData>
    <row r="1" s="1" customFormat="true" ht="25.8" hidden="false" customHeight="false" outlineLevel="0" collapsed="false">
      <c r="A1" s="1" t="s">
        <v>0</v>
      </c>
    </row>
    <row r="3" s="4" customFormat="true" ht="21" hidden="false" customHeight="false" outlineLevel="0" collapsed="false">
      <c r="A3" s="2" t="s">
        <v>1</v>
      </c>
      <c r="B3" s="2"/>
      <c r="C3" s="2"/>
      <c r="D3" s="2"/>
      <c r="E3" s="3"/>
    </row>
    <row r="4" s="4" customFormat="true" ht="14.4" hidden="false" customHeight="fals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/>
      <c r="F4" s="5"/>
    </row>
    <row r="5" customFormat="false" ht="14.4" hidden="false" customHeight="false" outlineLevel="0" collapsed="false">
      <c r="A5" s="0" t="s">
        <v>6</v>
      </c>
      <c r="B5" s="6" t="n">
        <v>35000</v>
      </c>
      <c r="C5" s="6" t="n">
        <v>35000</v>
      </c>
      <c r="D5" s="6" t="n">
        <v>0</v>
      </c>
      <c r="E5" s="6"/>
      <c r="F5" s="6"/>
    </row>
    <row r="6" customFormat="false" ht="14.4" hidden="false" customHeight="false" outlineLevel="0" collapsed="false">
      <c r="A6" s="0" t="s">
        <v>7</v>
      </c>
      <c r="B6" s="6" t="e">
        <f aca="false" t="array" ref="B6:B6">_xlfn.xlookup(B$5,STDATM!$A$3:$A$203,STDATM!$D$3:$D$203,na,0,1)</f>
        <v>#NAME?</v>
      </c>
      <c r="C6" s="6" t="e">
        <f aca="false" t="array" ref="C6:C6">_xlfn.xlookup(C$5,STDATM!$A$3:$A$203,STDATM!$D$3:$D$203,na,0,1)</f>
        <v>#NAME?</v>
      </c>
      <c r="D6" s="6" t="e">
        <f aca="false" t="array" ref="D6:D6">_xlfn.xlookup(D$5,STDATM!$A$3:$A$203,STDATM!$D$3:$D$203,na,0,1)</f>
        <v>#NAME?</v>
      </c>
      <c r="E6" s="6"/>
      <c r="F6" s="6"/>
    </row>
    <row r="7" customFormat="false" ht="14.4" hidden="false" customHeight="false" outlineLevel="0" collapsed="false">
      <c r="A7" s="0" t="s">
        <v>8</v>
      </c>
      <c r="B7" s="6" t="e">
        <f aca="false" t="array" ref="B7:B7">_xlfn.xlookup(B$5,STDATM!$A$3:$A$203,STDATM!$F$3:$F$203,na,0,1)</f>
        <v>#NAME?</v>
      </c>
      <c r="C7" s="6" t="e">
        <f aca="false" t="array" ref="C7:C7">_xlfn.xlookup(C$5,STDATM!$A$3:$A$203,STDATM!$F$3:$F$203,na,0,1)</f>
        <v>#NAME?</v>
      </c>
      <c r="D7" s="6" t="e">
        <f aca="false" t="array" ref="D7:D7">_xlfn.xlookup(D$5,STDATM!$A$3:$A$203,STDATM!$F$3:$F$203,na,0,1)</f>
        <v>#NAME?</v>
      </c>
      <c r="E7" s="6"/>
    </row>
    <row r="8" customFormat="false" ht="14.4" hidden="false" customHeight="false" outlineLevel="0" collapsed="false">
      <c r="A8" s="0" t="s">
        <v>9</v>
      </c>
      <c r="B8" s="6" t="e">
        <f aca="false" t="array" ref="B8:B8">_xlfn.xlookup(B$5,STDATM!$A$3:$A$203,STDATM!$E$3:$E$203,na,0,1)</f>
        <v>#NAME?</v>
      </c>
      <c r="C8" s="6" t="e">
        <f aca="false" t="array" ref="C8:C8">_xlfn.xlookup(C$5,STDATM!$A$3:$A$203,STDATM!$E$3:$E$203,na,0,1)</f>
        <v>#NAME?</v>
      </c>
      <c r="D8" s="6" t="e">
        <f aca="false" t="array" ref="D8:D8">_xlfn.xlookup(D$5,STDATM!$A$3:$A$203,STDATM!$E$3:$E$203,na,0,1)</f>
        <v>#NAME?</v>
      </c>
      <c r="E8" s="6"/>
    </row>
    <row r="9" customFormat="false" ht="14.4" hidden="false" customHeight="false" outlineLevel="0" collapsed="false">
      <c r="A9" s="0" t="s">
        <v>10</v>
      </c>
      <c r="B9" s="6" t="n">
        <v>0.75</v>
      </c>
      <c r="C9" s="6" t="n">
        <v>0.95</v>
      </c>
      <c r="D9" s="6" t="n">
        <v>2</v>
      </c>
      <c r="E9" s="6"/>
    </row>
    <row r="10" customFormat="false" ht="14.4" hidden="false" customHeight="false" outlineLevel="0" collapsed="false">
      <c r="A10" s="7" t="s">
        <v>11</v>
      </c>
      <c r="B10" s="8" t="n">
        <f aca="false">B9*B$8</f>
        <v>729.66375</v>
      </c>
      <c r="C10" s="8" t="e">
        <f aca="false">C9*C$8</f>
        <v>#NAME?</v>
      </c>
      <c r="D10" s="8" t="e">
        <f aca="false">D9*D$8</f>
        <v>#NAME?</v>
      </c>
      <c r="E10" s="8"/>
    </row>
    <row r="11" customFormat="false" ht="14.4" hidden="false" customHeight="false" outlineLevel="0" collapsed="false">
      <c r="A11" s="7" t="s">
        <v>12</v>
      </c>
      <c r="B11" s="9" t="e">
        <f aca="false">(B6*B10*$B$27)/B7</f>
        <v>#NAME?</v>
      </c>
      <c r="C11" s="9" t="e">
        <f aca="false">(C6*C10*$B$27)/C7</f>
        <v>#NAME?</v>
      </c>
      <c r="D11" s="9" t="e">
        <f aca="false">(D6*D10*$B$27)/D7</f>
        <v>#NAME?</v>
      </c>
      <c r="E11" s="9"/>
    </row>
    <row r="12" customFormat="false" ht="14.4" hidden="false" customHeight="false" outlineLevel="0" collapsed="false">
      <c r="A12" s="0" t="s">
        <v>13</v>
      </c>
      <c r="B12" s="6" t="s">
        <v>14</v>
      </c>
      <c r="C12" s="6" t="s">
        <v>14</v>
      </c>
      <c r="D12" s="6" t="s">
        <v>14</v>
      </c>
      <c r="E12" s="6"/>
    </row>
    <row r="14" s="11" customFormat="true" ht="21" hidden="false" customHeight="false" outlineLevel="0" collapsed="false">
      <c r="A14" s="10" t="s">
        <v>15</v>
      </c>
      <c r="B14" s="10"/>
      <c r="C14" s="10"/>
      <c r="D14" s="10"/>
      <c r="E14" s="10"/>
    </row>
    <row r="15" customFormat="false" ht="14.4" hidden="false" customHeight="false" outlineLevel="0" collapsed="false">
      <c r="A15" s="0" t="s">
        <v>16</v>
      </c>
      <c r="B15" s="12" t="s">
        <v>17</v>
      </c>
    </row>
    <row r="16" customFormat="false" ht="14.4" hidden="false" customHeight="false" outlineLevel="0" collapsed="false">
      <c r="A16" s="0" t="s">
        <v>18</v>
      </c>
      <c r="B16" s="12" t="s">
        <v>17</v>
      </c>
    </row>
    <row r="17" customFormat="false" ht="14.4" hidden="false" customHeight="false" outlineLevel="0" collapsed="false">
      <c r="A17" s="0" t="s">
        <v>19</v>
      </c>
      <c r="B17" s="12" t="s">
        <v>17</v>
      </c>
    </row>
    <row r="18" customFormat="false" ht="14.4" hidden="false" customHeight="false" outlineLevel="0" collapsed="false">
      <c r="A18" s="0" t="s">
        <v>20</v>
      </c>
      <c r="B18" s="12" t="s">
        <v>17</v>
      </c>
    </row>
    <row r="19" customFormat="false" ht="14.4" hidden="false" customHeight="false" outlineLevel="0" collapsed="false">
      <c r="A19" s="0" t="s">
        <v>21</v>
      </c>
      <c r="B19" s="12"/>
    </row>
    <row r="21" s="15" customFormat="true" ht="21" hidden="false" customHeight="false" outlineLevel="0" collapsed="false">
      <c r="A21" s="13" t="s">
        <v>22</v>
      </c>
      <c r="B21" s="13"/>
      <c r="C21" s="13"/>
      <c r="D21" s="13"/>
      <c r="E21" s="14"/>
    </row>
    <row r="22" customFormat="false" ht="14.4" hidden="false" customHeight="false" outlineLevel="0" collapsed="false">
      <c r="A22" s="0" t="s">
        <v>23</v>
      </c>
      <c r="B22" s="6" t="s">
        <v>24</v>
      </c>
      <c r="C22" s="6" t="s">
        <v>25</v>
      </c>
    </row>
    <row r="23" customFormat="false" ht="14.4" hidden="false" customHeight="false" outlineLevel="0" collapsed="false">
      <c r="A23" s="0" t="s">
        <v>26</v>
      </c>
      <c r="B23" s="6" t="n">
        <v>0.35</v>
      </c>
      <c r="C23" s="6"/>
    </row>
    <row r="24" customFormat="false" ht="14.4" hidden="false" customHeight="false" outlineLevel="0" collapsed="false">
      <c r="A24" s="0" t="s">
        <v>27</v>
      </c>
      <c r="B24" s="6" t="n">
        <v>0.3</v>
      </c>
      <c r="C24" s="6" t="s">
        <v>28</v>
      </c>
    </row>
    <row r="25" customFormat="false" ht="14.4" hidden="false" customHeight="false" outlineLevel="0" collapsed="false">
      <c r="A25" s="0" t="s">
        <v>29</v>
      </c>
      <c r="B25" s="6" t="n">
        <v>0</v>
      </c>
      <c r="C25" s="6" t="s">
        <v>25</v>
      </c>
    </row>
    <row r="26" customFormat="false" ht="14.4" hidden="false" customHeight="false" outlineLevel="0" collapsed="false">
      <c r="A26" s="0" t="s">
        <v>30</v>
      </c>
      <c r="B26" s="6" t="n">
        <v>0</v>
      </c>
      <c r="C26" s="6" t="s">
        <v>25</v>
      </c>
    </row>
    <row r="27" customFormat="false" ht="14.4" hidden="false" customHeight="false" outlineLevel="0" collapsed="false">
      <c r="A27" s="0" t="s">
        <v>31</v>
      </c>
      <c r="B27" s="6" t="s">
        <v>24</v>
      </c>
      <c r="C27" s="6" t="s">
        <v>32</v>
      </c>
    </row>
    <row r="28" customFormat="false" ht="14.4" hidden="false" customHeight="false" outlineLevel="0" collapsed="false">
      <c r="A28" s="0" t="s">
        <v>33</v>
      </c>
      <c r="B28" s="6" t="n">
        <v>450</v>
      </c>
      <c r="C28" s="6" t="s">
        <v>34</v>
      </c>
    </row>
    <row r="29" customFormat="false" ht="14.4" hidden="false" customHeight="false" outlineLevel="0" collapsed="false">
      <c r="A29" s="0" t="s">
        <v>35</v>
      </c>
      <c r="B29" s="6" t="n">
        <v>1000</v>
      </c>
      <c r="C29" s="6" t="s">
        <v>34</v>
      </c>
    </row>
    <row r="30" customFormat="false" ht="14.4" hidden="false" customHeight="false" outlineLevel="0" collapsed="false">
      <c r="A30" s="0" t="s">
        <v>36</v>
      </c>
      <c r="B30" s="6" t="n">
        <v>12200</v>
      </c>
      <c r="C30" s="6" t="s">
        <v>34</v>
      </c>
    </row>
    <row r="32" s="17" customFormat="true" ht="21" hidden="false" customHeight="false" outlineLevel="0" collapsed="false">
      <c r="A32" s="16" t="s">
        <v>37</v>
      </c>
      <c r="B32" s="16"/>
    </row>
    <row r="33" customFormat="false" ht="14.4" hidden="false" customHeight="false" outlineLevel="0" collapsed="false">
      <c r="A33" s="0" t="s">
        <v>38</v>
      </c>
      <c r="B33" s="0" t="s">
        <v>39</v>
      </c>
    </row>
    <row r="34" customFormat="false" ht="14.4" hidden="false" customHeight="false" outlineLevel="0" collapsed="false">
      <c r="A34" s="0" t="s">
        <v>40</v>
      </c>
      <c r="B34" s="0" t="s">
        <v>41</v>
      </c>
    </row>
    <row r="35" customFormat="false" ht="14.4" hidden="false" customHeight="false" outlineLevel="0" collapsed="false">
      <c r="A35" s="0" t="s">
        <v>42</v>
      </c>
      <c r="B35" s="0" t="s">
        <v>43</v>
      </c>
    </row>
    <row r="37" s="19" customFormat="true" ht="21" hidden="false" customHeight="false" outlineLevel="0" collapsed="false">
      <c r="A37" s="18" t="s">
        <v>44</v>
      </c>
      <c r="B37" s="18"/>
      <c r="C37" s="18"/>
      <c r="D37" s="18"/>
      <c r="E37" s="18"/>
      <c r="F37" s="18"/>
      <c r="G37" s="18"/>
      <c r="H37" s="18"/>
      <c r="I37" s="18"/>
      <c r="J37" s="18"/>
    </row>
    <row r="38" customFormat="false" ht="58.05" hidden="false" customHeight="true" outlineLevel="0" collapsed="false">
      <c r="A38" s="20"/>
      <c r="B38" s="20" t="s">
        <v>45</v>
      </c>
      <c r="C38" s="21" t="s">
        <v>46</v>
      </c>
      <c r="D38" s="22" t="s">
        <v>47</v>
      </c>
      <c r="E38" s="22"/>
      <c r="F38" s="23" t="s">
        <v>48</v>
      </c>
      <c r="G38" s="23"/>
      <c r="H38" s="23"/>
      <c r="I38" s="23"/>
      <c r="J38" s="23"/>
      <c r="K38" s="24"/>
    </row>
    <row r="39" customFormat="false" ht="14.4" hidden="false" customHeight="false" outlineLevel="0" collapsed="false">
      <c r="A39" s="20" t="s">
        <v>49</v>
      </c>
      <c r="B39" s="25" t="s">
        <v>50</v>
      </c>
      <c r="C39" s="25" t="s">
        <v>51</v>
      </c>
      <c r="D39" s="26" t="s">
        <v>52</v>
      </c>
      <c r="E39" s="26" t="s">
        <v>53</v>
      </c>
      <c r="F39" s="27" t="s">
        <v>54</v>
      </c>
      <c r="G39" s="27" t="s">
        <v>55</v>
      </c>
      <c r="H39" s="27" t="s">
        <v>56</v>
      </c>
      <c r="I39" s="27" t="s">
        <v>57</v>
      </c>
      <c r="J39" s="27" t="s">
        <v>58</v>
      </c>
    </row>
    <row r="40" customFormat="false" ht="14.4" hidden="false" customHeight="false" outlineLevel="0" collapsed="false">
      <c r="A40" s="28" t="n">
        <v>1.1</v>
      </c>
      <c r="B40" s="29" t="n">
        <v>650</v>
      </c>
      <c r="C40" s="29" t="n">
        <v>1.25</v>
      </c>
      <c r="D40" s="30" t="n">
        <v>16333.8342985272</v>
      </c>
      <c r="E40" s="30" t="n">
        <v>3829.60682577486</v>
      </c>
      <c r="F40" s="30" t="n">
        <v>25.2443492669031</v>
      </c>
      <c r="G40" s="30" t="n">
        <v>0.743502261468011</v>
      </c>
      <c r="H40" s="31"/>
      <c r="I40" s="31"/>
      <c r="J40" s="31" t="s">
        <v>59</v>
      </c>
    </row>
    <row r="41" customFormat="false" ht="14.4" hidden="false" customHeight="false" outlineLevel="0" collapsed="false">
      <c r="A41" s="28" t="n">
        <v>1.2</v>
      </c>
      <c r="B41" s="29" t="n">
        <v>600</v>
      </c>
      <c r="C41" s="29" t="n">
        <v>1.25</v>
      </c>
      <c r="D41" s="30" t="n">
        <v>15840.8105346543</v>
      </c>
      <c r="E41" s="30" t="n">
        <v>3735.91382039392</v>
      </c>
      <c r="F41" s="30" t="n">
        <v>26.5196275353457</v>
      </c>
      <c r="G41" s="30" t="n">
        <v>0.766727711625392</v>
      </c>
      <c r="H41" s="31"/>
      <c r="I41" s="31"/>
      <c r="J41" s="31" t="s">
        <v>59</v>
      </c>
    </row>
    <row r="42" customFormat="false" ht="14.4" hidden="false" customHeight="false" outlineLevel="0" collapsed="false">
      <c r="A42" s="28" t="n">
        <v>1.3</v>
      </c>
      <c r="B42" s="29" t="n">
        <v>550</v>
      </c>
      <c r="C42" s="29" t="n">
        <v>1.25</v>
      </c>
      <c r="D42" s="30" t="n">
        <v>15358.4450762222</v>
      </c>
      <c r="E42" s="30" t="n">
        <v>3656.21612545776</v>
      </c>
      <c r="F42" s="30" t="n">
        <v>28.0550833127462</v>
      </c>
      <c r="G42" s="30" t="n">
        <v>0.790652372496802</v>
      </c>
      <c r="H42" s="31"/>
      <c r="I42" s="31"/>
      <c r="J42" s="31" t="s">
        <v>59</v>
      </c>
    </row>
    <row r="43" customFormat="false" ht="14.4" hidden="false" customHeight="false" outlineLevel="0" collapsed="false">
      <c r="A43" s="28" t="n">
        <v>1.4</v>
      </c>
      <c r="B43" s="29" t="n">
        <v>500</v>
      </c>
      <c r="C43" s="29" t="n">
        <v>1.25</v>
      </c>
      <c r="D43" s="30" t="n">
        <v>14876.8512738034</v>
      </c>
      <c r="E43" s="30" t="n">
        <v>3588.34452146045</v>
      </c>
      <c r="F43" s="30" t="n">
        <v>29.894612790159</v>
      </c>
      <c r="G43" s="30" t="n">
        <v>0.816200570024851</v>
      </c>
      <c r="H43" s="31"/>
      <c r="I43" s="31"/>
      <c r="J43" s="31" t="s">
        <v>59</v>
      </c>
    </row>
    <row r="44" customFormat="false" ht="14.4" hidden="false" customHeight="false" outlineLevel="0" collapsed="false">
      <c r="A44" s="28" t="n">
        <v>1.5</v>
      </c>
      <c r="B44" s="29" t="n">
        <v>450</v>
      </c>
      <c r="C44" s="29" t="n">
        <v>1.25</v>
      </c>
      <c r="D44" s="30" t="n">
        <v>14413.3147350814</v>
      </c>
      <c r="E44" s="30" t="n">
        <v>3543.95049514479</v>
      </c>
      <c r="F44" s="30" t="n">
        <v>32.1870411444069</v>
      </c>
      <c r="G44" s="30" t="n">
        <v>0.84229895470905</v>
      </c>
      <c r="H44" s="31"/>
      <c r="I44" s="31"/>
      <c r="J44" s="31" t="s">
        <v>59</v>
      </c>
    </row>
    <row r="45" customFormat="false" ht="14.4" hidden="false" customHeight="false" outlineLevel="0" collapsed="false">
      <c r="A45" s="32" t="n">
        <v>2.1</v>
      </c>
      <c r="B45" s="32" t="n">
        <v>650</v>
      </c>
      <c r="C45" s="32" t="n">
        <v>1.5</v>
      </c>
      <c r="D45" s="33" t="n">
        <v>16647.0748476091</v>
      </c>
      <c r="E45" s="33" t="n">
        <v>3589.76992481299</v>
      </c>
      <c r="F45" s="33" t="n">
        <v>25.7302290490796</v>
      </c>
      <c r="G45" s="33" t="n">
        <v>0.729462249769679</v>
      </c>
      <c r="H45" s="33"/>
      <c r="I45" s="33"/>
      <c r="J45" s="33" t="s">
        <v>60</v>
      </c>
    </row>
    <row r="46" customFormat="false" ht="14.4" hidden="false" customHeight="false" outlineLevel="0" collapsed="false">
      <c r="A46" s="32" t="n">
        <v>2.2</v>
      </c>
      <c r="B46" s="32" t="n">
        <v>600</v>
      </c>
      <c r="C46" s="32" t="n">
        <v>1.5</v>
      </c>
      <c r="D46" s="33" t="n">
        <v>16087.6259629907</v>
      </c>
      <c r="E46" s="33" t="n">
        <v>3471.79452902757</v>
      </c>
      <c r="F46" s="33" t="n">
        <v>26.9315244950603</v>
      </c>
      <c r="G46" s="33" t="n">
        <v>0.755001200806989</v>
      </c>
      <c r="H46" s="33"/>
      <c r="I46" s="33"/>
      <c r="J46" s="33" t="s">
        <v>60</v>
      </c>
    </row>
    <row r="47" customFormat="false" ht="14.4" hidden="false" customHeight="false" outlineLevel="0" collapsed="false">
      <c r="A47" s="32" t="n">
        <v>2.3</v>
      </c>
      <c r="B47" s="32" t="n">
        <v>550</v>
      </c>
      <c r="C47" s="32" t="n">
        <v>1.5</v>
      </c>
      <c r="D47" s="33" t="n">
        <v>15533.4857220769</v>
      </c>
      <c r="E47" s="33" t="n">
        <v>3363.02981316688</v>
      </c>
      <c r="F47" s="33" t="n">
        <v>28.3766625538265</v>
      </c>
      <c r="G47" s="33" t="n">
        <v>0.78169228462799</v>
      </c>
      <c r="H47" s="33"/>
      <c r="I47" s="33"/>
      <c r="J47" s="33" t="s">
        <v>60</v>
      </c>
    </row>
    <row r="48" customFormat="false" ht="14.4" hidden="false" customHeight="false" outlineLevel="0" collapsed="false">
      <c r="A48" s="32" t="n">
        <v>2.4</v>
      </c>
      <c r="B48" s="32" t="n">
        <v>500</v>
      </c>
      <c r="C48" s="32" t="n">
        <v>1.5</v>
      </c>
      <c r="D48" s="33" t="n">
        <v>14959.0834217841</v>
      </c>
      <c r="E48" s="33" t="n">
        <v>3254.93741638246</v>
      </c>
      <c r="F48" s="33" t="n">
        <v>30.0551583855091</v>
      </c>
      <c r="G48" s="33" t="n">
        <v>0.811840672640217</v>
      </c>
      <c r="H48" s="33"/>
      <c r="I48" s="33"/>
      <c r="J48" s="33" t="s">
        <v>60</v>
      </c>
    </row>
    <row r="49" customFormat="false" ht="14.4" hidden="false" customHeight="false" outlineLevel="0" collapsed="false">
      <c r="A49" s="32" t="n">
        <v>2.5</v>
      </c>
      <c r="B49" s="32" t="n">
        <v>450</v>
      </c>
      <c r="C49" s="32" t="n">
        <v>1.5</v>
      </c>
      <c r="D49" s="33" t="n">
        <v>14374.2523011668</v>
      </c>
      <c r="E49" s="33" t="n">
        <v>3153.27929922455</v>
      </c>
      <c r="F49" s="33" t="n">
        <v>32.0792565766563</v>
      </c>
      <c r="G49" s="33" t="n">
        <v>0.845129033658453</v>
      </c>
      <c r="H49" s="33"/>
      <c r="I49" s="33"/>
      <c r="J49" s="33" t="s">
        <v>60</v>
      </c>
    </row>
    <row r="50" customFormat="false" ht="14.4" hidden="false" customHeight="false" outlineLevel="0" collapsed="false">
      <c r="A50" s="34" t="n">
        <v>3.1</v>
      </c>
      <c r="B50" s="34" t="n">
        <v>650</v>
      </c>
      <c r="C50" s="34" t="n">
        <v>1.75</v>
      </c>
      <c r="D50" s="35" t="n">
        <v>17026.8250703619</v>
      </c>
      <c r="E50" s="35" t="n">
        <v>3478.9784381438</v>
      </c>
      <c r="F50" s="35" t="n">
        <v>26.1538461538462</v>
      </c>
      <c r="G50" s="35" t="n">
        <v>0.71764705882353</v>
      </c>
      <c r="H50" s="35"/>
      <c r="I50" s="35"/>
      <c r="J50" s="35" t="s">
        <v>61</v>
      </c>
    </row>
    <row r="51" customFormat="false" ht="14.4" hidden="false" customHeight="false" outlineLevel="0" collapsed="false">
      <c r="A51" s="34" t="n">
        <v>3.2</v>
      </c>
      <c r="B51" s="34" t="n">
        <v>600</v>
      </c>
      <c r="C51" s="34" t="n">
        <v>1.75</v>
      </c>
      <c r="D51" s="35" t="n">
        <v>16564.9527281668</v>
      </c>
      <c r="E51" s="35" t="n">
        <v>3396.86049496094</v>
      </c>
      <c r="F51" s="35" t="n">
        <v>27.7241191086784</v>
      </c>
      <c r="G51" s="35" t="n">
        <v>0.733416750001208</v>
      </c>
      <c r="H51" s="35"/>
      <c r="I51" s="35"/>
      <c r="J51" s="35" t="s">
        <v>61</v>
      </c>
    </row>
    <row r="52" customFormat="false" ht="14.4" hidden="false" customHeight="false" outlineLevel="0" collapsed="false">
      <c r="A52" s="34" t="n">
        <v>3.3</v>
      </c>
      <c r="B52" s="34" t="n">
        <v>550</v>
      </c>
      <c r="C52" s="34" t="n">
        <v>1.75</v>
      </c>
      <c r="D52" s="35" t="n">
        <v>15964.3207043009</v>
      </c>
      <c r="E52" s="35" t="n">
        <v>3273.73975247937</v>
      </c>
      <c r="F52" s="35" t="n">
        <v>29.1634750079799</v>
      </c>
      <c r="G52" s="35" t="n">
        <v>0.760602711979578</v>
      </c>
      <c r="H52" s="35"/>
      <c r="I52" s="35"/>
      <c r="J52" s="35" t="s">
        <v>61</v>
      </c>
    </row>
    <row r="53" customFormat="false" ht="14.4" hidden="false" customHeight="false" outlineLevel="0" collapsed="false">
      <c r="A53" s="34" t="n">
        <v>3.4</v>
      </c>
      <c r="B53" s="34" t="n">
        <v>500</v>
      </c>
      <c r="C53" s="34" t="n">
        <v>1.75</v>
      </c>
      <c r="D53" s="35" t="n">
        <v>15342.5742506942</v>
      </c>
      <c r="E53" s="35" t="n">
        <v>3150.73065861932</v>
      </c>
      <c r="F53" s="35" t="n">
        <v>30.836662860236</v>
      </c>
      <c r="G53" s="35" t="n">
        <v>0.791265906774365</v>
      </c>
      <c r="H53" s="35"/>
      <c r="I53" s="35"/>
      <c r="J53" s="35" t="s">
        <v>61</v>
      </c>
    </row>
    <row r="54" customFormat="false" ht="14.4" hidden="false" customHeight="false" outlineLevel="0" collapsed="false">
      <c r="A54" s="34" t="n">
        <v>3.5</v>
      </c>
      <c r="B54" s="34" t="n">
        <v>450</v>
      </c>
      <c r="C54" s="34" t="n">
        <v>1.75</v>
      </c>
      <c r="D54" s="35" t="n">
        <v>14696.0859386548</v>
      </c>
      <c r="E54" s="35" t="n">
        <v>3027.91645639384</v>
      </c>
      <c r="F54" s="35" t="n">
        <v>32.8097113093221</v>
      </c>
      <c r="G54" s="35" t="n">
        <v>0.826313613536983</v>
      </c>
      <c r="H54" s="35"/>
      <c r="I54" s="35"/>
      <c r="J54" s="35" t="s">
        <v>61</v>
      </c>
    </row>
    <row r="55" customFormat="false" ht="14.4" hidden="false" customHeight="false" outlineLevel="0" collapsed="false">
      <c r="A55" s="36" t="n">
        <v>4.1</v>
      </c>
      <c r="B55" s="36" t="n">
        <v>650</v>
      </c>
      <c r="C55" s="36" t="n">
        <v>2</v>
      </c>
      <c r="D55" s="37" t="n">
        <v>17543.9837682206</v>
      </c>
      <c r="E55" s="37" t="n">
        <v>3468.83472037835</v>
      </c>
      <c r="F55" s="37" t="n">
        <v>26.8610692782143</v>
      </c>
      <c r="G55" s="37" t="n">
        <v>0.69875218200839</v>
      </c>
      <c r="H55" s="37"/>
      <c r="I55" s="37"/>
      <c r="J55" s="37" t="s">
        <v>62</v>
      </c>
    </row>
    <row r="56" customFormat="false" ht="14.4" hidden="false" customHeight="false" outlineLevel="0" collapsed="false">
      <c r="A56" s="36" t="n">
        <v>4.2</v>
      </c>
      <c r="B56" s="36" t="n">
        <v>600</v>
      </c>
      <c r="C56" s="36" t="n">
        <v>2</v>
      </c>
      <c r="D56" s="37" t="n">
        <v>17007.3341803785</v>
      </c>
      <c r="E56" s="37" t="n">
        <v>3361.28725523443</v>
      </c>
      <c r="F56" s="37" t="n">
        <v>28.3333333333333</v>
      </c>
      <c r="G56" s="37" t="n">
        <v>0.71764705882353</v>
      </c>
      <c r="H56" s="37"/>
      <c r="I56" s="37"/>
      <c r="J56" s="37" t="s">
        <v>62</v>
      </c>
    </row>
    <row r="57" customFormat="false" ht="14.4" hidden="false" customHeight="false" outlineLevel="0" collapsed="false">
      <c r="A57" s="36" t="n">
        <v>4.3</v>
      </c>
      <c r="B57" s="36" t="n">
        <v>550</v>
      </c>
      <c r="C57" s="36" t="n">
        <v>2</v>
      </c>
      <c r="D57" s="37" t="n">
        <v>16475.6621902412</v>
      </c>
      <c r="E57" s="37" t="n">
        <v>3262.64510858762</v>
      </c>
      <c r="F57" s="37" t="n">
        <v>30.1050787374063</v>
      </c>
      <c r="G57" s="37" t="n">
        <v>0.736813159510417</v>
      </c>
      <c r="H57" s="37"/>
      <c r="I57" s="37"/>
      <c r="J57" s="37" t="s">
        <v>62</v>
      </c>
    </row>
    <row r="58" customFormat="false" ht="14.4" hidden="false" customHeight="false" outlineLevel="0" collapsed="false">
      <c r="A58" s="36" t="n">
        <v>4.4</v>
      </c>
      <c r="B58" s="36" t="n">
        <v>500</v>
      </c>
      <c r="C58" s="36" t="n">
        <v>2</v>
      </c>
      <c r="D58" s="37" t="n">
        <v>15785.5686940693</v>
      </c>
      <c r="E58" s="37" t="n">
        <v>3119.20445742335</v>
      </c>
      <c r="F58" s="37" t="n">
        <v>31.7034122070278</v>
      </c>
      <c r="G58" s="37" t="n">
        <v>0.769633244543663</v>
      </c>
      <c r="H58" s="37"/>
      <c r="I58" s="37"/>
      <c r="J58" s="37" t="s">
        <v>62</v>
      </c>
    </row>
    <row r="59" customFormat="false" ht="14.4" hidden="false" customHeight="false" outlineLevel="0" collapsed="false">
      <c r="A59" s="36" t="n">
        <v>4.5</v>
      </c>
      <c r="B59" s="36" t="n">
        <v>450</v>
      </c>
      <c r="C59" s="36" t="n">
        <v>2</v>
      </c>
      <c r="D59" s="37" t="n">
        <v>15098.2710741053</v>
      </c>
      <c r="E59" s="37" t="n">
        <v>2984.99195449595</v>
      </c>
      <c r="F59" s="37" t="n">
        <v>33.6953768894041</v>
      </c>
      <c r="G59" s="37" t="n">
        <v>0.804594386942041</v>
      </c>
      <c r="H59" s="37"/>
      <c r="I59" s="37"/>
      <c r="J59" s="37" t="s">
        <v>62</v>
      </c>
    </row>
    <row r="60" customFormat="false" ht="14.4" hidden="false" customHeight="false" outlineLevel="0" collapsed="false">
      <c r="A60" s="28"/>
      <c r="B60" s="28"/>
      <c r="C60" s="28"/>
      <c r="D60" s="30"/>
      <c r="E60" s="30"/>
      <c r="F60" s="30"/>
      <c r="G60" s="30"/>
      <c r="H60" s="30"/>
      <c r="I60" s="30"/>
      <c r="J60" s="30"/>
    </row>
    <row r="61" customFormat="false" ht="14.4" hidden="false" customHeight="false" outlineLevel="0" collapsed="false">
      <c r="A61" s="28"/>
      <c r="B61" s="28"/>
      <c r="C61" s="28"/>
      <c r="D61" s="30"/>
      <c r="E61" s="30"/>
      <c r="F61" s="30"/>
      <c r="G61" s="30"/>
      <c r="H61" s="30"/>
      <c r="I61" s="30"/>
      <c r="J61" s="30"/>
    </row>
    <row r="62" customFormat="false" ht="14.4" hidden="false" customHeight="false" outlineLevel="0" collapsed="false">
      <c r="A62" s="28"/>
      <c r="B62" s="28"/>
      <c r="C62" s="28"/>
      <c r="D62" s="30"/>
      <c r="E62" s="30"/>
      <c r="F62" s="30"/>
      <c r="G62" s="30"/>
      <c r="H62" s="30"/>
      <c r="I62" s="30"/>
      <c r="J62" s="30"/>
    </row>
    <row r="63" customFormat="false" ht="14.4" hidden="false" customHeight="false" outlineLevel="0" collapsed="false">
      <c r="A63" s="28"/>
      <c r="B63" s="28"/>
      <c r="C63" s="28"/>
      <c r="D63" s="30"/>
      <c r="E63" s="30"/>
      <c r="F63" s="30"/>
      <c r="G63" s="30"/>
      <c r="H63" s="30"/>
      <c r="I63" s="30"/>
      <c r="J63" s="30"/>
    </row>
    <row r="64" customFormat="false" ht="14.4" hidden="false" customHeight="false" outlineLevel="0" collapsed="false">
      <c r="A64" s="28"/>
      <c r="B64" s="28"/>
      <c r="C64" s="28"/>
      <c r="D64" s="30"/>
      <c r="E64" s="30"/>
      <c r="F64" s="30"/>
      <c r="G64" s="30"/>
      <c r="H64" s="30"/>
      <c r="I64" s="30"/>
      <c r="J64" s="30"/>
    </row>
    <row r="65" customFormat="false" ht="14.4" hidden="false" customHeight="false" outlineLevel="0" collapsed="false">
      <c r="A65" s="28"/>
      <c r="B65" s="30"/>
      <c r="C65" s="30"/>
      <c r="D65" s="30"/>
      <c r="E65" s="30"/>
      <c r="F65" s="30"/>
      <c r="G65" s="30"/>
      <c r="H65" s="30"/>
      <c r="I65" s="30"/>
      <c r="J65" s="30"/>
    </row>
    <row r="66" customFormat="false" ht="14.4" hidden="false" customHeight="false" outlineLevel="0" collapsed="false">
      <c r="A66" s="28"/>
      <c r="B66" s="30"/>
      <c r="C66" s="30"/>
      <c r="D66" s="30"/>
      <c r="E66" s="30"/>
      <c r="F66" s="30"/>
      <c r="G66" s="30"/>
      <c r="H66" s="30"/>
      <c r="I66" s="30"/>
      <c r="J66" s="30"/>
    </row>
    <row r="67" customFormat="false" ht="14.4" hidden="false" customHeight="false" outlineLevel="0" collapsed="false">
      <c r="A67" s="28"/>
      <c r="B67" s="30"/>
      <c r="C67" s="30"/>
      <c r="D67" s="30"/>
      <c r="E67" s="30"/>
      <c r="F67" s="30"/>
      <c r="G67" s="30"/>
      <c r="H67" s="30"/>
      <c r="I67" s="30"/>
      <c r="J67" s="30"/>
    </row>
    <row r="68" customFormat="false" ht="14.4" hidden="false" customHeight="false" outlineLevel="0" collapsed="false">
      <c r="A68" s="28"/>
      <c r="B68" s="30"/>
      <c r="C68" s="30"/>
      <c r="D68" s="30"/>
      <c r="E68" s="30"/>
      <c r="F68" s="30"/>
      <c r="G68" s="30"/>
      <c r="H68" s="30"/>
      <c r="I68" s="30"/>
      <c r="J68" s="30"/>
    </row>
    <row r="69" customFormat="false" ht="14.4" hidden="false" customHeight="false" outlineLevel="0" collapsed="false">
      <c r="A69" s="28"/>
      <c r="B69" s="30"/>
      <c r="C69" s="30"/>
      <c r="D69" s="30"/>
      <c r="E69" s="30"/>
      <c r="F69" s="30"/>
      <c r="G69" s="30"/>
      <c r="H69" s="30"/>
      <c r="I69" s="30"/>
      <c r="J69" s="30"/>
    </row>
    <row r="70" customFormat="false" ht="14.4" hidden="false" customHeight="false" outlineLevel="0" collapsed="false">
      <c r="A70" s="28"/>
      <c r="B70" s="30"/>
      <c r="C70" s="30"/>
      <c r="D70" s="30"/>
      <c r="E70" s="30"/>
      <c r="F70" s="30"/>
      <c r="G70" s="30"/>
      <c r="H70" s="30"/>
      <c r="I70" s="30"/>
      <c r="J70" s="30"/>
    </row>
    <row r="71" customFormat="false" ht="14.4" hidden="false" customHeight="false" outlineLevel="0" collapsed="false">
      <c r="A71" s="28"/>
      <c r="B71" s="30"/>
      <c r="C71" s="30"/>
      <c r="D71" s="30"/>
      <c r="E71" s="30"/>
      <c r="F71" s="30"/>
      <c r="G71" s="30"/>
      <c r="H71" s="30"/>
      <c r="I71" s="30"/>
      <c r="J71" s="30"/>
    </row>
    <row r="72" customFormat="false" ht="14.4" hidden="false" customHeight="false" outlineLevel="0" collapsed="false">
      <c r="A72" s="28"/>
      <c r="B72" s="30"/>
      <c r="C72" s="30"/>
      <c r="D72" s="30"/>
      <c r="E72" s="30"/>
      <c r="F72" s="30"/>
      <c r="G72" s="30"/>
      <c r="H72" s="30"/>
      <c r="I72" s="30"/>
      <c r="J72" s="30"/>
    </row>
    <row r="73" customFormat="false" ht="14.4" hidden="false" customHeight="false" outlineLevel="0" collapsed="false">
      <c r="A73" s="28"/>
      <c r="B73" s="30"/>
      <c r="C73" s="30"/>
      <c r="D73" s="30"/>
      <c r="E73" s="30"/>
      <c r="F73" s="30"/>
      <c r="G73" s="30"/>
      <c r="H73" s="30"/>
      <c r="I73" s="30"/>
      <c r="J73" s="30"/>
    </row>
    <row r="74" customFormat="false" ht="14.4" hidden="false" customHeight="false" outlineLevel="0" collapsed="false">
      <c r="A74" s="28"/>
      <c r="B74" s="30"/>
      <c r="C74" s="30"/>
      <c r="D74" s="30"/>
      <c r="E74" s="30"/>
      <c r="F74" s="30"/>
      <c r="G74" s="30"/>
      <c r="H74" s="30"/>
      <c r="I74" s="30"/>
      <c r="J74" s="30"/>
    </row>
    <row r="75" customFormat="false" ht="14.4" hidden="false" customHeight="false" outlineLevel="0" collapsed="false">
      <c r="A75" s="28"/>
      <c r="B75" s="30"/>
      <c r="C75" s="30"/>
      <c r="D75" s="30"/>
      <c r="E75" s="30"/>
      <c r="F75" s="30"/>
      <c r="G75" s="30"/>
      <c r="H75" s="30"/>
      <c r="I75" s="30"/>
      <c r="J75" s="30"/>
    </row>
    <row r="76" customFormat="false" ht="14.4" hidden="false" customHeight="false" outlineLevel="0" collapsed="false">
      <c r="A76" s="28"/>
      <c r="B76" s="30"/>
      <c r="C76" s="30"/>
      <c r="D76" s="30"/>
      <c r="E76" s="30"/>
      <c r="F76" s="30"/>
      <c r="G76" s="30"/>
      <c r="H76" s="30"/>
      <c r="I76" s="30"/>
      <c r="J76" s="30"/>
    </row>
    <row r="77" customFormat="false" ht="14.4" hidden="false" customHeight="false" outlineLevel="0" collapsed="false">
      <c r="A77" s="28"/>
      <c r="B77" s="30"/>
      <c r="C77" s="30"/>
      <c r="D77" s="30"/>
      <c r="E77" s="30"/>
      <c r="F77" s="30"/>
      <c r="G77" s="30"/>
      <c r="H77" s="30"/>
      <c r="I77" s="30"/>
      <c r="J77" s="30"/>
    </row>
    <row r="78" customFormat="false" ht="14.4" hidden="false" customHeight="false" outlineLevel="0" collapsed="false">
      <c r="A78" s="28"/>
      <c r="B78" s="30"/>
      <c r="C78" s="30"/>
      <c r="D78" s="30"/>
      <c r="E78" s="30"/>
      <c r="F78" s="30"/>
      <c r="G78" s="30"/>
      <c r="H78" s="30"/>
      <c r="I78" s="30"/>
      <c r="J78" s="30"/>
    </row>
    <row r="79" customFormat="false" ht="14.4" hidden="false" customHeight="false" outlineLevel="0" collapsed="false">
      <c r="A79" s="28"/>
      <c r="B79" s="30"/>
      <c r="C79" s="30"/>
      <c r="D79" s="30"/>
      <c r="E79" s="30"/>
      <c r="F79" s="30"/>
      <c r="G79" s="30"/>
      <c r="H79" s="30"/>
      <c r="I79" s="30"/>
      <c r="J79" s="30"/>
    </row>
    <row r="80" customFormat="false" ht="14.4" hidden="false" customHeight="false" outlineLevel="0" collapsed="false">
      <c r="A80" s="28"/>
      <c r="B80" s="30"/>
      <c r="C80" s="30"/>
      <c r="D80" s="30"/>
      <c r="E80" s="30"/>
      <c r="F80" s="30"/>
      <c r="G80" s="30"/>
      <c r="H80" s="30"/>
      <c r="I80" s="30"/>
      <c r="J80" s="30"/>
    </row>
    <row r="81" customFormat="false" ht="14.4" hidden="false" customHeight="false" outlineLevel="0" collapsed="false">
      <c r="A81" s="28"/>
      <c r="B81" s="30"/>
      <c r="C81" s="30"/>
      <c r="D81" s="30"/>
      <c r="E81" s="30"/>
      <c r="F81" s="30"/>
      <c r="G81" s="30"/>
      <c r="H81" s="30"/>
      <c r="I81" s="30"/>
      <c r="J81" s="30"/>
    </row>
    <row r="82" customFormat="false" ht="14.4" hidden="false" customHeight="false" outlineLevel="0" collapsed="false">
      <c r="A82" s="28"/>
      <c r="B82" s="30"/>
      <c r="C82" s="30"/>
      <c r="D82" s="30"/>
      <c r="E82" s="30"/>
      <c r="F82" s="30"/>
      <c r="G82" s="30"/>
      <c r="H82" s="30"/>
      <c r="I82" s="30"/>
      <c r="J82" s="30"/>
    </row>
    <row r="83" customFormat="false" ht="14.4" hidden="false" customHeight="false" outlineLevel="0" collapsed="false">
      <c r="A83" s="28"/>
      <c r="B83" s="30"/>
      <c r="C83" s="30"/>
      <c r="D83" s="30"/>
      <c r="E83" s="30"/>
      <c r="F83" s="30"/>
      <c r="G83" s="30"/>
      <c r="H83" s="30"/>
      <c r="I83" s="30"/>
      <c r="J83" s="30"/>
    </row>
    <row r="84" customFormat="false" ht="14.4" hidden="false" customHeight="false" outlineLevel="0" collapsed="false">
      <c r="A84" s="28"/>
      <c r="B84" s="30"/>
      <c r="C84" s="30"/>
      <c r="D84" s="30"/>
      <c r="E84" s="30"/>
      <c r="F84" s="30"/>
      <c r="G84" s="30"/>
      <c r="H84" s="30"/>
      <c r="I84" s="30"/>
      <c r="J84" s="30"/>
    </row>
    <row r="85" customFormat="false" ht="14.4" hidden="false" customHeight="false" outlineLevel="0" collapsed="false">
      <c r="A85" s="28"/>
      <c r="B85" s="30"/>
      <c r="C85" s="30"/>
      <c r="D85" s="30"/>
      <c r="E85" s="30"/>
      <c r="F85" s="30"/>
      <c r="G85" s="30"/>
      <c r="H85" s="30"/>
      <c r="I85" s="30"/>
      <c r="J85" s="30"/>
    </row>
    <row r="86" customFormat="false" ht="14.4" hidden="false" customHeight="false" outlineLevel="0" collapsed="false">
      <c r="A86" s="28"/>
      <c r="B86" s="30"/>
      <c r="C86" s="30"/>
      <c r="D86" s="30"/>
      <c r="E86" s="30"/>
      <c r="F86" s="30"/>
      <c r="G86" s="30"/>
      <c r="H86" s="30"/>
      <c r="I86" s="30"/>
      <c r="J86" s="30"/>
    </row>
    <row r="87" customFormat="false" ht="14.4" hidden="false" customHeight="false" outlineLevel="0" collapsed="false">
      <c r="A87" s="28"/>
      <c r="B87" s="30"/>
      <c r="C87" s="30"/>
      <c r="D87" s="30"/>
      <c r="E87" s="30"/>
      <c r="F87" s="30"/>
      <c r="G87" s="30"/>
      <c r="H87" s="30"/>
      <c r="I87" s="30"/>
      <c r="J87" s="30"/>
    </row>
    <row r="88" customFormat="false" ht="14.4" hidden="false" customHeight="false" outlineLevel="0" collapsed="false">
      <c r="A88" s="28"/>
      <c r="B88" s="30"/>
      <c r="C88" s="30"/>
      <c r="D88" s="30"/>
      <c r="E88" s="30"/>
      <c r="F88" s="30"/>
      <c r="G88" s="30"/>
      <c r="H88" s="30"/>
      <c r="I88" s="30"/>
      <c r="J88" s="30"/>
    </row>
    <row r="89" customFormat="false" ht="14.4" hidden="false" customHeight="false" outlineLevel="0" collapsed="false">
      <c r="A89" s="28"/>
      <c r="B89" s="30"/>
      <c r="C89" s="30"/>
      <c r="D89" s="30"/>
      <c r="E89" s="30"/>
      <c r="F89" s="30"/>
      <c r="G89" s="30"/>
      <c r="H89" s="30"/>
      <c r="I89" s="30"/>
      <c r="J89" s="30"/>
    </row>
    <row r="90" customFormat="false" ht="14.4" hidden="false" customHeight="false" outlineLevel="0" collapsed="false">
      <c r="A90" s="28"/>
      <c r="B90" s="30"/>
      <c r="C90" s="30"/>
      <c r="D90" s="30"/>
      <c r="E90" s="30"/>
      <c r="F90" s="30"/>
      <c r="G90" s="30"/>
      <c r="H90" s="30"/>
      <c r="I90" s="30"/>
      <c r="J90" s="30"/>
    </row>
    <row r="91" customFormat="false" ht="14.4" hidden="false" customHeight="false" outlineLevel="0" collapsed="false">
      <c r="A91" s="30"/>
      <c r="B91" s="30"/>
      <c r="C91" s="30"/>
      <c r="D91" s="30"/>
      <c r="E91" s="30"/>
      <c r="F91" s="30"/>
      <c r="G91" s="30"/>
      <c r="H91" s="30"/>
      <c r="I91" s="30"/>
      <c r="J91" s="30"/>
    </row>
    <row r="92" customFormat="false" ht="14.4" hidden="false" customHeight="false" outlineLevel="0" collapsed="false">
      <c r="A92" s="30"/>
      <c r="B92" s="30"/>
      <c r="C92" s="30"/>
      <c r="D92" s="30"/>
      <c r="E92" s="30"/>
      <c r="F92" s="30"/>
      <c r="G92" s="30"/>
      <c r="H92" s="30"/>
      <c r="I92" s="30"/>
      <c r="J92" s="30"/>
    </row>
    <row r="93" customFormat="false" ht="14.4" hidden="false" customHeight="false" outlineLevel="0" collapsed="false">
      <c r="A93" s="30"/>
      <c r="B93" s="30"/>
      <c r="C93" s="30"/>
      <c r="D93" s="30"/>
      <c r="E93" s="30"/>
      <c r="F93" s="30"/>
      <c r="G93" s="30"/>
      <c r="H93" s="30"/>
      <c r="I93" s="30"/>
      <c r="J93" s="30"/>
    </row>
    <row r="94" customFormat="false" ht="14.4" hidden="false" customHeight="false" outlineLevel="0" collapsed="false">
      <c r="A94" s="30"/>
      <c r="B94" s="30"/>
      <c r="C94" s="30"/>
      <c r="D94" s="30"/>
      <c r="E94" s="30"/>
      <c r="F94" s="30"/>
      <c r="G94" s="30"/>
      <c r="H94" s="30"/>
      <c r="I94" s="30"/>
      <c r="J94" s="30"/>
    </row>
    <row r="95" customFormat="false" ht="14.4" hidden="false" customHeight="false" outlineLevel="0" collapsed="false">
      <c r="A95" s="30"/>
      <c r="B95" s="30"/>
      <c r="C95" s="30"/>
      <c r="D95" s="30"/>
      <c r="E95" s="30"/>
      <c r="F95" s="30"/>
      <c r="G95" s="30"/>
      <c r="H95" s="30"/>
      <c r="I95" s="30"/>
      <c r="J95" s="30"/>
    </row>
    <row r="96" customFormat="false" ht="14.4" hidden="false" customHeight="false" outlineLevel="0" collapsed="false">
      <c r="A96" s="30"/>
      <c r="B96" s="30"/>
      <c r="C96" s="30"/>
      <c r="D96" s="30"/>
      <c r="E96" s="30"/>
      <c r="F96" s="30"/>
      <c r="G96" s="30"/>
      <c r="H96" s="30"/>
      <c r="I96" s="30"/>
      <c r="J96" s="30"/>
    </row>
    <row r="97" customFormat="false" ht="14.4" hidden="false" customHeight="false" outlineLevel="0" collapsed="false">
      <c r="A97" s="30"/>
      <c r="B97" s="30"/>
      <c r="C97" s="30"/>
      <c r="D97" s="30"/>
      <c r="E97" s="30"/>
      <c r="F97" s="30"/>
      <c r="G97" s="30"/>
      <c r="H97" s="30"/>
      <c r="I97" s="30"/>
      <c r="J97" s="30"/>
    </row>
    <row r="98" customFormat="false" ht="14.4" hidden="false" customHeight="false" outlineLevel="0" collapsed="false">
      <c r="A98" s="30"/>
      <c r="B98" s="30"/>
      <c r="C98" s="30"/>
      <c r="D98" s="30"/>
      <c r="E98" s="30"/>
      <c r="F98" s="30"/>
      <c r="G98" s="30"/>
      <c r="H98" s="30"/>
      <c r="I98" s="30"/>
      <c r="J98" s="30"/>
    </row>
    <row r="99" customFormat="false" ht="14.4" hidden="false" customHeight="false" outlineLevel="0" collapsed="false">
      <c r="A99" s="30"/>
      <c r="B99" s="30"/>
      <c r="C99" s="30"/>
      <c r="D99" s="30"/>
      <c r="E99" s="30"/>
      <c r="F99" s="30"/>
      <c r="G99" s="30"/>
      <c r="H99" s="30"/>
      <c r="I99" s="30"/>
      <c r="J99" s="30"/>
    </row>
    <row r="100" customFormat="false" ht="14.4" hidden="false" customHeight="false" outlineLevel="0" collapsed="false">
      <c r="A100" s="30"/>
      <c r="B100" s="30"/>
      <c r="C100" s="30"/>
      <c r="D100" s="30"/>
      <c r="E100" s="30"/>
      <c r="F100" s="30"/>
      <c r="G100" s="30"/>
      <c r="H100" s="30"/>
      <c r="I100" s="30"/>
      <c r="J100" s="30"/>
    </row>
  </sheetData>
  <mergeCells count="6">
    <mergeCell ref="A3:D3"/>
    <mergeCell ref="A21:D21"/>
    <mergeCell ref="A32:B32"/>
    <mergeCell ref="A37:J37"/>
    <mergeCell ref="D38:E38"/>
    <mergeCell ref="F38:J38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B10" activeCellId="0" sqref="B10"/>
    </sheetView>
  </sheetViews>
  <sheetFormatPr defaultRowHeight="14.4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6"/>
    <col collapsed="false" customWidth="true" hidden="false" outlineLevel="0" max="3" min="3" style="0" width="15.44"/>
    <col collapsed="false" customWidth="true" hidden="false" outlineLevel="0" max="5" min="4" style="0" width="15.78"/>
    <col collapsed="false" customWidth="true" hidden="false" outlineLevel="0" max="6" min="6" style="0" width="17"/>
    <col collapsed="false" customWidth="true" hidden="false" outlineLevel="0" max="7" min="7" style="0" width="16.78"/>
    <col collapsed="false" customWidth="true" hidden="false" outlineLevel="0" max="9" min="8" style="0" width="10.77"/>
    <col collapsed="false" customWidth="true" hidden="false" outlineLevel="0" max="10" min="10" style="0" width="34.11"/>
    <col collapsed="false" customWidth="true" hidden="false" outlineLevel="0" max="1025" min="11" style="0" width="8.54"/>
  </cols>
  <sheetData>
    <row r="1" s="1" customFormat="true" ht="25.8" hidden="false" customHeight="false" outlineLevel="0" collapsed="false">
      <c r="A1" s="1" t="s">
        <v>63</v>
      </c>
    </row>
    <row r="3" s="4" customFormat="true" ht="21" hidden="false" customHeight="false" outlineLevel="0" collapsed="false">
      <c r="A3" s="2" t="s">
        <v>1</v>
      </c>
      <c r="B3" s="2"/>
      <c r="C3" s="2"/>
      <c r="D3" s="2"/>
      <c r="E3" s="3"/>
    </row>
    <row r="4" s="4" customFormat="true" ht="14.4" hidden="false" customHeight="fals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/>
      <c r="F4" s="5"/>
    </row>
    <row r="5" customFormat="false" ht="14.4" hidden="false" customHeight="false" outlineLevel="0" collapsed="false">
      <c r="A5" s="0" t="s">
        <v>6</v>
      </c>
      <c r="B5" s="6" t="n">
        <v>35000</v>
      </c>
      <c r="C5" s="6" t="n">
        <v>0</v>
      </c>
      <c r="D5" s="6" t="n">
        <v>0</v>
      </c>
      <c r="E5" s="6"/>
      <c r="F5" s="6"/>
    </row>
    <row r="6" customFormat="false" ht="14.4" hidden="false" customHeight="false" outlineLevel="0" collapsed="false">
      <c r="A6" s="0" t="s">
        <v>7</v>
      </c>
      <c r="B6" s="6" t="e">
        <f aca="false" t="array" ref="B6:B6">_xlfn.xlookup(B$5,STDATM!$A$3:$A$203,STDATM!$D$3:$D$203,na,0,1)</f>
        <v>#NAME?</v>
      </c>
      <c r="C6" s="6" t="e">
        <f aca="false" t="array" ref="C6:C6">_xlfn.xlookup(C$5,STDATM!$A$3:$A$203,STDATM!$D$3:$D$203,na,0,1)</f>
        <v>#NAME?</v>
      </c>
      <c r="D6" s="6" t="e">
        <f aca="false" t="array" ref="D6:D6">_xlfn.xlookup(D$5,STDATM!$A$3:$A$203,STDATM!$D$3:$D$203,na,0,1)</f>
        <v>#NAME?</v>
      </c>
      <c r="E6" s="6"/>
      <c r="F6" s="6"/>
    </row>
    <row r="7" customFormat="false" ht="14.4" hidden="false" customHeight="false" outlineLevel="0" collapsed="false">
      <c r="A7" s="0" t="s">
        <v>8</v>
      </c>
      <c r="B7" s="6" t="e">
        <f aca="false" t="array" ref="B7:B7">_xlfn.xlookup(B$5,STDATM!$A$3:$A$203,STDATM!$F$3:$F$203,na,0,1)</f>
        <v>#NAME?</v>
      </c>
      <c r="C7" s="6" t="e">
        <f aca="false" t="array" ref="C7:C7">_xlfn.xlookup(C$5,STDATM!$A$3:$A$203,STDATM!$F$3:$F$203,na,0,1)</f>
        <v>#NAME?</v>
      </c>
      <c r="D7" s="6" t="e">
        <f aca="false" t="array" ref="D7:D7">_xlfn.xlookup(D$5,STDATM!$A$3:$A$203,STDATM!$F$3:$F$203,na,0,1)</f>
        <v>#NAME?</v>
      </c>
      <c r="E7" s="6"/>
    </row>
    <row r="8" customFormat="false" ht="14.4" hidden="false" customHeight="false" outlineLevel="0" collapsed="false">
      <c r="A8" s="0" t="s">
        <v>9</v>
      </c>
      <c r="B8" s="6" t="e">
        <f aca="false" t="array" ref="B8:B8">_xlfn.xlookup(B$5,STDATM!$A$3:$A$203,STDATM!$E$3:$E$203,na,0,1)</f>
        <v>#NAME?</v>
      </c>
      <c r="C8" s="6" t="e">
        <f aca="false" t="array" ref="C8:C8">_xlfn.xlookup(C$5,STDATM!$A$3:$A$203,STDATM!$E$3:$E$203,na,0,1)</f>
        <v>#NAME?</v>
      </c>
      <c r="D8" s="6" t="e">
        <f aca="false" t="array" ref="D8:D8">_xlfn.xlookup(D$5,STDATM!$A$3:$A$203,STDATM!$E$3:$E$203,na,0,1)</f>
        <v>#NAME?</v>
      </c>
      <c r="E8" s="6"/>
    </row>
    <row r="9" customFormat="false" ht="14.4" hidden="false" customHeight="false" outlineLevel="0" collapsed="false">
      <c r="A9" s="0" t="s">
        <v>10</v>
      </c>
      <c r="B9" s="6" t="n">
        <v>0.75</v>
      </c>
      <c r="C9" s="6" t="n">
        <v>1.05</v>
      </c>
      <c r="D9" s="6" t="n">
        <v>2</v>
      </c>
      <c r="E9" s="6"/>
    </row>
    <row r="10" customFormat="false" ht="14.4" hidden="false" customHeight="false" outlineLevel="0" collapsed="false">
      <c r="A10" s="7" t="s">
        <v>11</v>
      </c>
      <c r="B10" s="8" t="n">
        <f aca="false">B9*B$8</f>
        <v>729.66375</v>
      </c>
      <c r="C10" s="8" t="e">
        <f aca="false">C9*C$8</f>
        <v>#NAME?</v>
      </c>
      <c r="D10" s="8" t="e">
        <f aca="false">D9*D$8</f>
        <v>#NAME?</v>
      </c>
      <c r="E10" s="8"/>
    </row>
    <row r="11" customFormat="false" ht="14.4" hidden="false" customHeight="false" outlineLevel="0" collapsed="false">
      <c r="A11" s="7" t="s">
        <v>12</v>
      </c>
      <c r="B11" s="9" t="e">
        <f aca="false">(B6*B10*$B$27)/B7</f>
        <v>#NAME?</v>
      </c>
      <c r="C11" s="9" t="e">
        <f aca="false">(C6*C10*$B$27)/C7</f>
        <v>#NAME?</v>
      </c>
      <c r="D11" s="9" t="e">
        <f aca="false">(D6*D10*$B$27)/D7</f>
        <v>#NAME?</v>
      </c>
      <c r="E11" s="9"/>
    </row>
    <row r="12" customFormat="false" ht="14.4" hidden="false" customHeight="false" outlineLevel="0" collapsed="false">
      <c r="A12" s="0" t="s">
        <v>13</v>
      </c>
      <c r="B12" s="6" t="s">
        <v>14</v>
      </c>
      <c r="C12" s="6" t="s">
        <v>14</v>
      </c>
      <c r="D12" s="6" t="s">
        <v>14</v>
      </c>
      <c r="E12" s="6"/>
    </row>
    <row r="14" s="11" customFormat="true" ht="21" hidden="false" customHeight="false" outlineLevel="0" collapsed="false">
      <c r="A14" s="10" t="s">
        <v>15</v>
      </c>
      <c r="B14" s="10"/>
      <c r="C14" s="10"/>
      <c r="D14" s="10"/>
      <c r="E14" s="10"/>
    </row>
    <row r="15" customFormat="false" ht="14.4" hidden="false" customHeight="false" outlineLevel="0" collapsed="false">
      <c r="A15" s="0" t="s">
        <v>16</v>
      </c>
      <c r="B15" s="12" t="s">
        <v>64</v>
      </c>
      <c r="C15" s="0" t="s">
        <v>65</v>
      </c>
    </row>
    <row r="16" customFormat="false" ht="14.4" hidden="false" customHeight="false" outlineLevel="0" collapsed="false">
      <c r="A16" s="0" t="s">
        <v>18</v>
      </c>
      <c r="B16" s="12"/>
    </row>
    <row r="17" customFormat="false" ht="14.4" hidden="false" customHeight="false" outlineLevel="0" collapsed="false">
      <c r="A17" s="0" t="s">
        <v>19</v>
      </c>
      <c r="B17" s="12"/>
    </row>
    <row r="18" customFormat="false" ht="14.4" hidden="false" customHeight="false" outlineLevel="0" collapsed="false">
      <c r="A18" s="0" t="s">
        <v>20</v>
      </c>
      <c r="B18" s="12"/>
    </row>
    <row r="19" customFormat="false" ht="14.4" hidden="false" customHeight="false" outlineLevel="0" collapsed="false">
      <c r="A19" s="0" t="s">
        <v>21</v>
      </c>
      <c r="B19" s="12"/>
    </row>
    <row r="21" s="15" customFormat="true" ht="21" hidden="false" customHeight="false" outlineLevel="0" collapsed="false">
      <c r="A21" s="13" t="s">
        <v>22</v>
      </c>
      <c r="B21" s="13"/>
      <c r="C21" s="13"/>
      <c r="D21" s="13"/>
      <c r="E21" s="14"/>
    </row>
    <row r="22" customFormat="false" ht="14.4" hidden="false" customHeight="false" outlineLevel="0" collapsed="false">
      <c r="A22" s="0" t="s">
        <v>23</v>
      </c>
      <c r="B22" s="6" t="s">
        <v>24</v>
      </c>
      <c r="C22" s="6" t="s">
        <v>25</v>
      </c>
    </row>
    <row r="23" customFormat="false" ht="14.4" hidden="false" customHeight="false" outlineLevel="0" collapsed="false">
      <c r="A23" s="0" t="s">
        <v>26</v>
      </c>
      <c r="B23" s="6" t="n">
        <v>0.35</v>
      </c>
      <c r="C23" s="6"/>
    </row>
    <row r="24" customFormat="false" ht="14.4" hidden="false" customHeight="false" outlineLevel="0" collapsed="false">
      <c r="A24" s="0" t="s">
        <v>27</v>
      </c>
      <c r="B24" s="6" t="n">
        <v>0.3</v>
      </c>
      <c r="C24" s="6" t="s">
        <v>28</v>
      </c>
    </row>
    <row r="25" customFormat="false" ht="14.4" hidden="false" customHeight="false" outlineLevel="0" collapsed="false">
      <c r="A25" s="0" t="s">
        <v>29</v>
      </c>
      <c r="B25" s="6" t="n">
        <v>0</v>
      </c>
      <c r="C25" s="6" t="s">
        <v>25</v>
      </c>
    </row>
    <row r="26" customFormat="false" ht="14.4" hidden="false" customHeight="false" outlineLevel="0" collapsed="false">
      <c r="A26" s="0" t="s">
        <v>30</v>
      </c>
      <c r="B26" s="6" t="n">
        <v>0</v>
      </c>
      <c r="C26" s="6" t="s">
        <v>25</v>
      </c>
    </row>
    <row r="27" customFormat="false" ht="14.4" hidden="false" customHeight="false" outlineLevel="0" collapsed="false">
      <c r="A27" s="0" t="s">
        <v>31</v>
      </c>
      <c r="B27" s="6" t="s">
        <v>24</v>
      </c>
      <c r="C27" s="6" t="s">
        <v>32</v>
      </c>
    </row>
    <row r="28" customFormat="false" ht="14.4" hidden="false" customHeight="false" outlineLevel="0" collapsed="false">
      <c r="A28" s="0" t="s">
        <v>33</v>
      </c>
      <c r="B28" s="6" t="n">
        <v>450</v>
      </c>
      <c r="C28" s="6" t="s">
        <v>34</v>
      </c>
    </row>
    <row r="29" customFormat="false" ht="14.4" hidden="false" customHeight="false" outlineLevel="0" collapsed="false">
      <c r="A29" s="0" t="s">
        <v>35</v>
      </c>
      <c r="B29" s="6" t="n">
        <v>1000</v>
      </c>
      <c r="C29" s="6" t="s">
        <v>34</v>
      </c>
    </row>
    <row r="30" customFormat="false" ht="14.4" hidden="false" customHeight="false" outlineLevel="0" collapsed="false">
      <c r="A30" s="0" t="s">
        <v>36</v>
      </c>
      <c r="B30" s="6" t="n">
        <v>12200</v>
      </c>
      <c r="C30" s="6" t="s">
        <v>34</v>
      </c>
    </row>
    <row r="32" s="17" customFormat="true" ht="21" hidden="false" customHeight="false" outlineLevel="0" collapsed="false">
      <c r="A32" s="16" t="s">
        <v>37</v>
      </c>
      <c r="B32" s="16"/>
    </row>
    <row r="33" customFormat="false" ht="14.4" hidden="false" customHeight="false" outlineLevel="0" collapsed="false">
      <c r="A33" s="0" t="s">
        <v>38</v>
      </c>
      <c r="B33" s="0" t="s">
        <v>39</v>
      </c>
    </row>
    <row r="34" customFormat="false" ht="14.4" hidden="false" customHeight="false" outlineLevel="0" collapsed="false">
      <c r="A34" s="0" t="s">
        <v>40</v>
      </c>
      <c r="B34" s="0" t="s">
        <v>41</v>
      </c>
    </row>
    <row r="35" customFormat="false" ht="14.4" hidden="false" customHeight="false" outlineLevel="0" collapsed="false">
      <c r="A35" s="0" t="s">
        <v>42</v>
      </c>
      <c r="B35" s="0" t="s">
        <v>43</v>
      </c>
    </row>
    <row r="37" s="19" customFormat="true" ht="21" hidden="false" customHeight="false" outlineLevel="0" collapsed="false">
      <c r="A37" s="18" t="s">
        <v>44</v>
      </c>
      <c r="B37" s="18"/>
      <c r="C37" s="18"/>
      <c r="D37" s="18"/>
      <c r="E37" s="18"/>
      <c r="F37" s="18"/>
      <c r="G37" s="18"/>
      <c r="H37" s="18"/>
      <c r="I37" s="18"/>
      <c r="J37" s="18"/>
    </row>
    <row r="38" customFormat="false" ht="58.05" hidden="false" customHeight="true" outlineLevel="0" collapsed="false">
      <c r="A38" s="20"/>
      <c r="B38" s="20" t="s">
        <v>45</v>
      </c>
      <c r="C38" s="21" t="s">
        <v>46</v>
      </c>
      <c r="D38" s="22" t="s">
        <v>47</v>
      </c>
      <c r="E38" s="22"/>
      <c r="F38" s="23" t="s">
        <v>48</v>
      </c>
      <c r="G38" s="23"/>
      <c r="H38" s="23"/>
      <c r="I38" s="23"/>
      <c r="J38" s="23"/>
      <c r="K38" s="24"/>
    </row>
    <row r="39" customFormat="false" ht="14.4" hidden="false" customHeight="false" outlineLevel="0" collapsed="false">
      <c r="A39" s="20" t="s">
        <v>49</v>
      </c>
      <c r="B39" s="25"/>
      <c r="C39" s="25"/>
      <c r="D39" s="26" t="s">
        <v>52</v>
      </c>
      <c r="E39" s="26" t="s">
        <v>66</v>
      </c>
      <c r="F39" s="27" t="s">
        <v>54</v>
      </c>
      <c r="G39" s="27" t="s">
        <v>55</v>
      </c>
      <c r="H39" s="27" t="s">
        <v>56</v>
      </c>
      <c r="I39" s="27" t="s">
        <v>57</v>
      </c>
      <c r="J39" s="27" t="s">
        <v>58</v>
      </c>
    </row>
    <row r="40" customFormat="false" ht="14.4" hidden="false" customHeight="false" outlineLevel="0" collapsed="false">
      <c r="A40" s="28"/>
      <c r="B40" s="28"/>
      <c r="C40" s="28"/>
      <c r="D40" s="30"/>
      <c r="E40" s="30"/>
      <c r="F40" s="30"/>
      <c r="G40" s="30"/>
      <c r="H40" s="30"/>
      <c r="I40" s="30"/>
      <c r="J40" s="30"/>
    </row>
    <row r="41" customFormat="false" ht="14.4" hidden="false" customHeight="false" outlineLevel="0" collapsed="false">
      <c r="A41" s="28"/>
      <c r="B41" s="28"/>
      <c r="C41" s="28"/>
      <c r="D41" s="30"/>
      <c r="E41" s="30"/>
      <c r="F41" s="30"/>
      <c r="G41" s="30"/>
      <c r="H41" s="30"/>
      <c r="I41" s="30"/>
      <c r="J41" s="30"/>
    </row>
    <row r="42" customFormat="false" ht="14.4" hidden="false" customHeight="false" outlineLevel="0" collapsed="false">
      <c r="A42" s="28"/>
      <c r="B42" s="28"/>
      <c r="C42" s="28"/>
      <c r="D42" s="30"/>
      <c r="E42" s="30"/>
      <c r="F42" s="30"/>
      <c r="G42" s="30"/>
      <c r="H42" s="30"/>
      <c r="I42" s="30"/>
      <c r="J42" s="30"/>
    </row>
    <row r="43" customFormat="false" ht="14.4" hidden="false" customHeight="false" outlineLevel="0" collapsed="false">
      <c r="A43" s="28"/>
      <c r="B43" s="28"/>
      <c r="C43" s="28"/>
      <c r="D43" s="30"/>
      <c r="E43" s="30"/>
      <c r="F43" s="30"/>
      <c r="G43" s="30"/>
      <c r="H43" s="30"/>
      <c r="I43" s="30"/>
      <c r="J43" s="30"/>
    </row>
    <row r="44" customFormat="false" ht="14.4" hidden="false" customHeight="false" outlineLevel="0" collapsed="false">
      <c r="A44" s="28"/>
      <c r="B44" s="28"/>
      <c r="C44" s="28"/>
      <c r="D44" s="30"/>
      <c r="E44" s="30"/>
      <c r="F44" s="30"/>
      <c r="G44" s="30"/>
      <c r="H44" s="30"/>
      <c r="I44" s="30"/>
      <c r="J44" s="30"/>
    </row>
    <row r="45" customFormat="false" ht="14.4" hidden="false" customHeight="false" outlineLevel="0" collapsed="false">
      <c r="A45" s="28"/>
      <c r="B45" s="28"/>
      <c r="C45" s="28"/>
      <c r="D45" s="30"/>
      <c r="E45" s="30"/>
      <c r="F45" s="30"/>
      <c r="G45" s="30"/>
      <c r="H45" s="30"/>
      <c r="I45" s="30"/>
      <c r="J45" s="30"/>
    </row>
    <row r="46" customFormat="false" ht="14.4" hidden="false" customHeight="false" outlineLevel="0" collapsed="false">
      <c r="A46" s="28"/>
      <c r="B46" s="28"/>
      <c r="C46" s="28"/>
      <c r="D46" s="30"/>
      <c r="E46" s="30"/>
      <c r="F46" s="30"/>
      <c r="G46" s="30"/>
      <c r="H46" s="30"/>
      <c r="I46" s="30"/>
      <c r="J46" s="30"/>
    </row>
    <row r="47" customFormat="false" ht="14.4" hidden="false" customHeight="false" outlineLevel="0" collapsed="false">
      <c r="A47" s="28"/>
      <c r="B47" s="28"/>
      <c r="C47" s="28"/>
      <c r="D47" s="30"/>
      <c r="E47" s="30"/>
      <c r="F47" s="30"/>
      <c r="G47" s="30"/>
      <c r="H47" s="30"/>
      <c r="I47" s="30"/>
      <c r="J47" s="30"/>
    </row>
    <row r="48" customFormat="false" ht="14.4" hidden="false" customHeight="false" outlineLevel="0" collapsed="false">
      <c r="A48" s="28"/>
      <c r="B48" s="28"/>
      <c r="C48" s="28"/>
      <c r="D48" s="30"/>
      <c r="E48" s="30"/>
      <c r="F48" s="30"/>
      <c r="G48" s="30"/>
      <c r="H48" s="30"/>
      <c r="I48" s="30"/>
      <c r="J48" s="30"/>
    </row>
  </sheetData>
  <mergeCells count="6">
    <mergeCell ref="A3:D3"/>
    <mergeCell ref="A21:D21"/>
    <mergeCell ref="A32:B32"/>
    <mergeCell ref="A37:J37"/>
    <mergeCell ref="D38:E38"/>
    <mergeCell ref="F38:J38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C27" activeCellId="0" sqref="C27"/>
    </sheetView>
  </sheetViews>
  <sheetFormatPr defaultRowHeight="14.4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6"/>
    <col collapsed="false" customWidth="true" hidden="false" outlineLevel="0" max="3" min="3" style="0" width="15.44"/>
    <col collapsed="false" customWidth="true" hidden="false" outlineLevel="0" max="5" min="4" style="0" width="15.78"/>
    <col collapsed="false" customWidth="true" hidden="false" outlineLevel="0" max="6" min="6" style="0" width="17"/>
    <col collapsed="false" customWidth="true" hidden="false" outlineLevel="0" max="7" min="7" style="0" width="16.78"/>
    <col collapsed="false" customWidth="true" hidden="false" outlineLevel="0" max="9" min="8" style="0" width="10.77"/>
    <col collapsed="false" customWidth="true" hidden="false" outlineLevel="0" max="10" min="10" style="0" width="34.11"/>
    <col collapsed="false" customWidth="true" hidden="false" outlineLevel="0" max="1025" min="11" style="0" width="8.54"/>
  </cols>
  <sheetData>
    <row r="1" s="1" customFormat="true" ht="25.8" hidden="false" customHeight="false" outlineLevel="0" collapsed="false">
      <c r="A1" s="1" t="s">
        <v>63</v>
      </c>
    </row>
    <row r="3" s="4" customFormat="true" ht="21" hidden="false" customHeight="false" outlineLevel="0" collapsed="false">
      <c r="A3" s="2" t="s">
        <v>1</v>
      </c>
      <c r="B3" s="2"/>
      <c r="C3" s="2"/>
      <c r="D3" s="2"/>
      <c r="E3" s="3"/>
    </row>
    <row r="4" s="4" customFormat="true" ht="14.4" hidden="false" customHeight="fals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/>
      <c r="F4" s="5"/>
    </row>
    <row r="5" customFormat="false" ht="14.4" hidden="false" customHeight="false" outlineLevel="0" collapsed="false">
      <c r="A5" s="0" t="s">
        <v>6</v>
      </c>
      <c r="B5" s="6" t="n">
        <v>0</v>
      </c>
      <c r="C5" s="6" t="n">
        <v>0</v>
      </c>
      <c r="D5" s="6" t="n">
        <v>0</v>
      </c>
      <c r="E5" s="6"/>
      <c r="F5" s="6"/>
    </row>
    <row r="6" customFormat="false" ht="14.4" hidden="false" customHeight="false" outlineLevel="0" collapsed="false">
      <c r="A6" s="0" t="s">
        <v>7</v>
      </c>
      <c r="B6" s="6" t="e">
        <f aca="false" t="array" ref="B6:B6">_xlfn.xlookup(B$5,STDATM!$A$3:$A$203,STDATM!$D$3:$D$203,na,0,1)</f>
        <v>#NAME?</v>
      </c>
      <c r="C6" s="6" t="e">
        <f aca="false" t="array" ref="C6:C6">_xlfn.xlookup(C$5,STDATM!$A$3:$A$203,STDATM!$D$3:$D$203,na,0,1)</f>
        <v>#NAME?</v>
      </c>
      <c r="D6" s="6" t="e">
        <f aca="false" t="array" ref="D6:D6">_xlfn.xlookup(D$5,STDATM!$A$3:$A$203,STDATM!$D$3:$D$203,na,0,1)</f>
        <v>#NAME?</v>
      </c>
      <c r="E6" s="6"/>
      <c r="F6" s="6"/>
    </row>
    <row r="7" customFormat="false" ht="14.4" hidden="false" customHeight="false" outlineLevel="0" collapsed="false">
      <c r="A7" s="0" t="s">
        <v>8</v>
      </c>
      <c r="B7" s="6" t="e">
        <f aca="false" t="array" ref="B7:B7">_xlfn.xlookup(B$5,STDATM!$A$3:$A$203,STDATM!$F$3:$F$203,na,0,1)</f>
        <v>#NAME?</v>
      </c>
      <c r="C7" s="6" t="e">
        <f aca="false" t="array" ref="C7:C7">_xlfn.xlookup(C$5,STDATM!$A$3:$A$203,STDATM!$F$3:$F$203,na,0,1)</f>
        <v>#NAME?</v>
      </c>
      <c r="D7" s="6" t="e">
        <f aca="false" t="array" ref="D7:D7">_xlfn.xlookup(D$5,STDATM!$A$3:$A$203,STDATM!$F$3:$F$203,na,0,1)</f>
        <v>#NAME?</v>
      </c>
      <c r="E7" s="6"/>
    </row>
    <row r="8" customFormat="false" ht="14.4" hidden="false" customHeight="false" outlineLevel="0" collapsed="false">
      <c r="A8" s="0" t="s">
        <v>9</v>
      </c>
      <c r="B8" s="6" t="e">
        <f aca="false" t="array" ref="B8:B8">_xlfn.xlookup(B$5,STDATM!$A$3:$A$203,STDATM!$E$3:$E$203,na,0,1)</f>
        <v>#NAME?</v>
      </c>
      <c r="C8" s="6" t="e">
        <f aca="false" t="array" ref="C8:C8">_xlfn.xlookup(C$5,STDATM!$A$3:$A$203,STDATM!$E$3:$E$203,na,0,1)</f>
        <v>#NAME?</v>
      </c>
      <c r="D8" s="6" t="e">
        <f aca="false" t="array" ref="D8:D8">_xlfn.xlookup(D$5,STDATM!$A$3:$A$203,STDATM!$E$3:$E$203,na,0,1)</f>
        <v>#NAME?</v>
      </c>
      <c r="E8" s="6"/>
    </row>
    <row r="9" customFormat="false" ht="14.4" hidden="false" customHeight="false" outlineLevel="0" collapsed="false">
      <c r="A9" s="0" t="s">
        <v>10</v>
      </c>
      <c r="B9" s="6" t="n">
        <v>0.5</v>
      </c>
      <c r="C9" s="6" t="n">
        <v>1.05</v>
      </c>
      <c r="D9" s="6" t="n">
        <v>2</v>
      </c>
      <c r="E9" s="6"/>
    </row>
    <row r="10" customFormat="false" ht="14.4" hidden="false" customHeight="false" outlineLevel="0" collapsed="false">
      <c r="A10" s="7" t="s">
        <v>11</v>
      </c>
      <c r="B10" s="8" t="n">
        <f aca="false">B9*B$8</f>
        <v>558.225</v>
      </c>
      <c r="C10" s="8" t="e">
        <f aca="false">C9*C$8</f>
        <v>#NAME?</v>
      </c>
      <c r="D10" s="8" t="e">
        <f aca="false">D9*D$8</f>
        <v>#NAME?</v>
      </c>
      <c r="E10" s="8"/>
    </row>
    <row r="11" customFormat="false" ht="14.4" hidden="false" customHeight="false" outlineLevel="0" collapsed="false">
      <c r="A11" s="7" t="s">
        <v>12</v>
      </c>
      <c r="B11" s="9" t="n">
        <f aca="false">(B6*B10*$B$27)/B7</f>
        <v>123984211.570486</v>
      </c>
      <c r="C11" s="9" t="e">
        <f aca="false">(C6*C10*$B$27)/C7</f>
        <v>#NAME?</v>
      </c>
      <c r="D11" s="9" t="e">
        <f aca="false">(D6*D10*$B$27)/D7</f>
        <v>#NAME?</v>
      </c>
      <c r="E11" s="9"/>
    </row>
    <row r="12" customFormat="false" ht="14.4" hidden="false" customHeight="false" outlineLevel="0" collapsed="false">
      <c r="A12" s="0" t="s">
        <v>13</v>
      </c>
      <c r="B12" s="6" t="s">
        <v>14</v>
      </c>
      <c r="C12" s="6" t="s">
        <v>14</v>
      </c>
      <c r="D12" s="6" t="s">
        <v>14</v>
      </c>
      <c r="E12" s="6"/>
    </row>
    <row r="14" s="11" customFormat="true" ht="21" hidden="false" customHeight="false" outlineLevel="0" collapsed="false">
      <c r="A14" s="10" t="s">
        <v>15</v>
      </c>
      <c r="B14" s="10"/>
      <c r="C14" s="10"/>
      <c r="D14" s="10"/>
      <c r="E14" s="10"/>
    </row>
    <row r="15" customFormat="false" ht="14.4" hidden="false" customHeight="false" outlineLevel="0" collapsed="false">
      <c r="A15" s="0" t="s">
        <v>16</v>
      </c>
      <c r="B15" s="12" t="s">
        <v>64</v>
      </c>
      <c r="C15" s="0" t="s">
        <v>65</v>
      </c>
    </row>
    <row r="16" customFormat="false" ht="14.4" hidden="false" customHeight="false" outlineLevel="0" collapsed="false">
      <c r="A16" s="0" t="s">
        <v>18</v>
      </c>
      <c r="B16" s="12"/>
    </row>
    <row r="17" customFormat="false" ht="14.4" hidden="false" customHeight="false" outlineLevel="0" collapsed="false">
      <c r="A17" s="0" t="s">
        <v>19</v>
      </c>
      <c r="B17" s="12"/>
    </row>
    <row r="18" customFormat="false" ht="14.4" hidden="false" customHeight="false" outlineLevel="0" collapsed="false">
      <c r="A18" s="0" t="s">
        <v>20</v>
      </c>
      <c r="B18" s="12"/>
    </row>
    <row r="19" customFormat="false" ht="14.4" hidden="false" customHeight="false" outlineLevel="0" collapsed="false">
      <c r="A19" s="0" t="s">
        <v>21</v>
      </c>
      <c r="B19" s="12"/>
    </row>
    <row r="21" s="15" customFormat="true" ht="21" hidden="false" customHeight="false" outlineLevel="0" collapsed="false">
      <c r="A21" s="13" t="s">
        <v>22</v>
      </c>
      <c r="B21" s="13"/>
      <c r="C21" s="13"/>
      <c r="D21" s="13"/>
      <c r="E21" s="14"/>
    </row>
    <row r="22" customFormat="false" ht="14.4" hidden="false" customHeight="false" outlineLevel="0" collapsed="false">
      <c r="A22" s="0" t="s">
        <v>50</v>
      </c>
      <c r="B22" s="6" t="n">
        <v>2500</v>
      </c>
      <c r="C22" s="6" t="s">
        <v>67</v>
      </c>
    </row>
    <row r="23" customFormat="false" ht="14.4" hidden="false" customHeight="false" outlineLevel="0" collapsed="false">
      <c r="A23" s="0" t="s">
        <v>26</v>
      </c>
      <c r="B23" s="6" t="n">
        <v>0.1</v>
      </c>
      <c r="C23" s="6"/>
    </row>
    <row r="24" customFormat="false" ht="14.4" hidden="false" customHeight="false" outlineLevel="0" collapsed="false">
      <c r="A24" s="0" t="s">
        <v>27</v>
      </c>
      <c r="B24" s="6" t="n">
        <v>0.04</v>
      </c>
      <c r="C24" s="6" t="s">
        <v>68</v>
      </c>
    </row>
    <row r="25" customFormat="false" ht="14.4" hidden="false" customHeight="false" outlineLevel="0" collapsed="false">
      <c r="A25" s="0" t="s">
        <v>29</v>
      </c>
      <c r="B25" s="6" t="n">
        <v>0</v>
      </c>
      <c r="C25" s="6" t="s">
        <v>25</v>
      </c>
    </row>
    <row r="26" customFormat="false" ht="14.4" hidden="false" customHeight="false" outlineLevel="0" collapsed="false">
      <c r="A26" s="0" t="s">
        <v>30</v>
      </c>
      <c r="B26" s="6" t="n">
        <v>0</v>
      </c>
      <c r="C26" s="6" t="s">
        <v>25</v>
      </c>
    </row>
    <row r="27" customFormat="false" ht="14.4" hidden="false" customHeight="false" outlineLevel="0" collapsed="false">
      <c r="A27" s="0" t="s">
        <v>69</v>
      </c>
      <c r="B27" s="6" t="n">
        <v>35.36</v>
      </c>
      <c r="C27" s="6" t="s">
        <v>32</v>
      </c>
      <c r="D27" s="0" t="s">
        <v>70</v>
      </c>
    </row>
    <row r="28" customFormat="false" ht="14.4" hidden="false" customHeight="false" outlineLevel="0" collapsed="false">
      <c r="A28" s="0" t="s">
        <v>71</v>
      </c>
    </row>
    <row r="29" customFormat="false" ht="14.4" hidden="false" customHeight="false" outlineLevel="0" collapsed="false">
      <c r="A29" s="24"/>
    </row>
    <row r="30" customFormat="false" ht="14.4" hidden="false" customHeight="false" outlineLevel="0" collapsed="false">
      <c r="A30" s="24"/>
    </row>
    <row r="32" s="17" customFormat="true" ht="21" hidden="false" customHeight="false" outlineLevel="0" collapsed="false">
      <c r="A32" s="16" t="s">
        <v>37</v>
      </c>
      <c r="B32" s="16"/>
    </row>
    <row r="33" customFormat="false" ht="14.4" hidden="false" customHeight="false" outlineLevel="0" collapsed="false">
      <c r="A33" s="0" t="s">
        <v>38</v>
      </c>
      <c r="B33" s="0" t="s">
        <v>39</v>
      </c>
    </row>
    <row r="34" customFormat="false" ht="14.4" hidden="false" customHeight="false" outlineLevel="0" collapsed="false">
      <c r="A34" s="0" t="s">
        <v>40</v>
      </c>
      <c r="B34" s="0" t="s">
        <v>41</v>
      </c>
    </row>
    <row r="35" customFormat="false" ht="14.4" hidden="false" customHeight="false" outlineLevel="0" collapsed="false">
      <c r="A35" s="0" t="s">
        <v>42</v>
      </c>
      <c r="B35" s="0" t="s">
        <v>43</v>
      </c>
    </row>
    <row r="37" s="19" customFormat="true" ht="21" hidden="false" customHeight="false" outlineLevel="0" collapsed="false">
      <c r="A37" s="18" t="s">
        <v>44</v>
      </c>
      <c r="B37" s="18"/>
      <c r="C37" s="18"/>
      <c r="D37" s="18"/>
      <c r="E37" s="18"/>
      <c r="F37" s="18"/>
      <c r="G37" s="18"/>
      <c r="H37" s="18"/>
      <c r="I37" s="18"/>
      <c r="J37" s="18"/>
    </row>
    <row r="38" customFormat="false" ht="58.05" hidden="false" customHeight="true" outlineLevel="0" collapsed="false">
      <c r="A38" s="20"/>
      <c r="B38" s="20" t="s">
        <v>45</v>
      </c>
      <c r="C38" s="21" t="s">
        <v>46</v>
      </c>
      <c r="D38" s="22" t="s">
        <v>47</v>
      </c>
      <c r="E38" s="22"/>
      <c r="F38" s="23" t="s">
        <v>48</v>
      </c>
      <c r="G38" s="23"/>
      <c r="H38" s="23"/>
      <c r="I38" s="23"/>
      <c r="J38" s="23"/>
      <c r="K38" s="24"/>
    </row>
    <row r="39" customFormat="false" ht="14.4" hidden="false" customHeight="false" outlineLevel="0" collapsed="false">
      <c r="A39" s="20" t="s">
        <v>49</v>
      </c>
      <c r="B39" s="25"/>
      <c r="C39" s="25"/>
      <c r="D39" s="26" t="s">
        <v>52</v>
      </c>
      <c r="E39" s="26" t="s">
        <v>66</v>
      </c>
      <c r="F39" s="27" t="s">
        <v>54</v>
      </c>
      <c r="G39" s="27" t="s">
        <v>55</v>
      </c>
      <c r="H39" s="27" t="s">
        <v>56</v>
      </c>
      <c r="I39" s="27" t="s">
        <v>57</v>
      </c>
      <c r="J39" s="27" t="s">
        <v>58</v>
      </c>
    </row>
    <row r="40" customFormat="false" ht="14.4" hidden="false" customHeight="false" outlineLevel="0" collapsed="false">
      <c r="A40" s="28"/>
      <c r="B40" s="28"/>
      <c r="C40" s="28"/>
      <c r="D40" s="30"/>
      <c r="E40" s="30"/>
      <c r="F40" s="30"/>
      <c r="G40" s="30"/>
      <c r="H40" s="30"/>
      <c r="I40" s="30"/>
      <c r="J40" s="30"/>
    </row>
    <row r="41" customFormat="false" ht="14.4" hidden="false" customHeight="false" outlineLevel="0" collapsed="false">
      <c r="A41" s="28"/>
      <c r="B41" s="28"/>
      <c r="C41" s="28"/>
      <c r="D41" s="30"/>
      <c r="E41" s="30"/>
      <c r="F41" s="30"/>
      <c r="G41" s="30"/>
      <c r="H41" s="30"/>
      <c r="I41" s="30"/>
      <c r="J41" s="30"/>
    </row>
    <row r="42" customFormat="false" ht="14.4" hidden="false" customHeight="false" outlineLevel="0" collapsed="false">
      <c r="A42" s="28"/>
      <c r="B42" s="28"/>
      <c r="C42" s="28"/>
      <c r="D42" s="30"/>
      <c r="E42" s="30"/>
      <c r="F42" s="30"/>
      <c r="G42" s="30"/>
      <c r="H42" s="30"/>
      <c r="I42" s="30"/>
      <c r="J42" s="30"/>
    </row>
    <row r="43" customFormat="false" ht="14.4" hidden="false" customHeight="false" outlineLevel="0" collapsed="false">
      <c r="A43" s="28"/>
      <c r="B43" s="28"/>
      <c r="C43" s="28"/>
      <c r="D43" s="30"/>
      <c r="E43" s="30"/>
      <c r="F43" s="30"/>
      <c r="G43" s="30"/>
      <c r="H43" s="30"/>
      <c r="I43" s="30"/>
      <c r="J43" s="30"/>
    </row>
    <row r="44" customFormat="false" ht="14.4" hidden="false" customHeight="false" outlineLevel="0" collapsed="false">
      <c r="A44" s="28"/>
      <c r="B44" s="28"/>
      <c r="C44" s="28"/>
      <c r="D44" s="30"/>
      <c r="E44" s="30"/>
      <c r="F44" s="30"/>
      <c r="G44" s="30"/>
      <c r="H44" s="30"/>
      <c r="I44" s="30"/>
      <c r="J44" s="30"/>
    </row>
    <row r="45" customFormat="false" ht="14.4" hidden="false" customHeight="false" outlineLevel="0" collapsed="false">
      <c r="A45" s="28"/>
      <c r="B45" s="28"/>
      <c r="C45" s="28"/>
      <c r="D45" s="30"/>
      <c r="E45" s="30"/>
      <c r="F45" s="30"/>
      <c r="G45" s="30"/>
      <c r="H45" s="30"/>
      <c r="I45" s="30"/>
      <c r="J45" s="30"/>
    </row>
    <row r="46" customFormat="false" ht="14.4" hidden="false" customHeight="false" outlineLevel="0" collapsed="false">
      <c r="A46" s="28"/>
      <c r="B46" s="28"/>
      <c r="C46" s="28"/>
      <c r="D46" s="30"/>
      <c r="E46" s="30"/>
      <c r="F46" s="30"/>
      <c r="G46" s="30"/>
      <c r="H46" s="30"/>
      <c r="I46" s="30"/>
      <c r="J46" s="30"/>
    </row>
    <row r="47" customFormat="false" ht="14.4" hidden="false" customHeight="false" outlineLevel="0" collapsed="false">
      <c r="A47" s="28"/>
      <c r="B47" s="28"/>
      <c r="C47" s="28"/>
      <c r="D47" s="30"/>
      <c r="E47" s="30"/>
      <c r="F47" s="30"/>
      <c r="G47" s="30"/>
      <c r="H47" s="30"/>
      <c r="I47" s="30"/>
      <c r="J47" s="30"/>
    </row>
    <row r="48" customFormat="false" ht="14.4" hidden="false" customHeight="false" outlineLevel="0" collapsed="false">
      <c r="A48" s="28"/>
      <c r="B48" s="28"/>
      <c r="C48" s="28"/>
      <c r="D48" s="30"/>
      <c r="E48" s="30"/>
      <c r="F48" s="30"/>
      <c r="G48" s="30"/>
      <c r="H48" s="30"/>
      <c r="I48" s="30"/>
      <c r="J48" s="30"/>
    </row>
  </sheetData>
  <mergeCells count="6">
    <mergeCell ref="A3:D3"/>
    <mergeCell ref="A21:D21"/>
    <mergeCell ref="A32:B32"/>
    <mergeCell ref="A37:J37"/>
    <mergeCell ref="D38:E38"/>
    <mergeCell ref="F38:J38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RowHeight="14.4" zeroHeight="false" outlineLevelRow="0" outlineLevelCol="0"/>
  <cols>
    <col collapsed="false" customWidth="true" hidden="false" outlineLevel="0" max="1" min="1" style="0" width="7.88"/>
    <col collapsed="false" customWidth="true" hidden="false" outlineLevel="0" max="2" min="2" style="0" width="11.66"/>
    <col collapsed="false" customWidth="true" hidden="false" outlineLevel="0" max="3" min="3" style="0" width="8.56"/>
    <col collapsed="false" customWidth="true" hidden="false" outlineLevel="0" max="1025" min="4" style="0" width="8.54"/>
  </cols>
  <sheetData>
    <row r="1" customFormat="false" ht="28.8" hidden="false" customHeight="false" outlineLevel="0" collapsed="false">
      <c r="A1" s="38" t="s">
        <v>72</v>
      </c>
      <c r="B1" s="38" t="s">
        <v>73</v>
      </c>
      <c r="C1" s="38" t="s">
        <v>74</v>
      </c>
      <c r="D1" s="38" t="s">
        <v>75</v>
      </c>
      <c r="E1" s="38" t="s">
        <v>76</v>
      </c>
      <c r="F1" s="38" t="s">
        <v>77</v>
      </c>
    </row>
    <row r="2" customFormat="false" ht="43.2" hidden="false" customHeight="false" outlineLevel="0" collapsed="false">
      <c r="A2" s="38" t="s">
        <v>78</v>
      </c>
      <c r="B2" s="38" t="s">
        <v>79</v>
      </c>
      <c r="C2" s="38" t="s">
        <v>80</v>
      </c>
      <c r="D2" s="38" t="s">
        <v>81</v>
      </c>
      <c r="E2" s="38" t="s">
        <v>82</v>
      </c>
      <c r="F2" s="38" t="s">
        <v>83</v>
      </c>
    </row>
    <row r="3" customFormat="false" ht="14.4" hidden="false" customHeight="false" outlineLevel="0" collapsed="false">
      <c r="A3" s="39" t="n">
        <v>0</v>
      </c>
      <c r="B3" s="39" t="n">
        <v>518.67</v>
      </c>
      <c r="C3" s="39" t="n">
        <v>2116.23</v>
      </c>
      <c r="D3" s="39" t="n">
        <v>0.00237717</v>
      </c>
      <c r="E3" s="39" t="n">
        <v>1116.45</v>
      </c>
      <c r="F3" s="40" t="n">
        <v>3.78456E-007</v>
      </c>
    </row>
    <row r="4" customFormat="false" ht="14.4" hidden="false" customHeight="false" outlineLevel="0" collapsed="false">
      <c r="A4" s="39" t="n">
        <v>500</v>
      </c>
      <c r="B4" s="39" t="n">
        <v>516.887</v>
      </c>
      <c r="C4" s="39" t="n">
        <v>2078.27</v>
      </c>
      <c r="D4" s="39" t="n">
        <v>0.00234259</v>
      </c>
      <c r="E4" s="39" t="n">
        <v>1114.53</v>
      </c>
      <c r="F4" s="40" t="n">
        <v>3.77422E-007</v>
      </c>
    </row>
    <row r="5" customFormat="false" ht="14.4" hidden="false" customHeight="false" outlineLevel="0" collapsed="false">
      <c r="A5" s="39" t="n">
        <v>1000</v>
      </c>
      <c r="B5" s="39" t="n">
        <v>515.104</v>
      </c>
      <c r="C5" s="39" t="n">
        <v>2040.86</v>
      </c>
      <c r="D5" s="39" t="n">
        <v>0.00230839</v>
      </c>
      <c r="E5" s="39" t="n">
        <v>1112.61</v>
      </c>
      <c r="F5" s="40" t="n">
        <v>3.76386E-007</v>
      </c>
    </row>
    <row r="6" customFormat="false" ht="14.4" hidden="false" customHeight="false" outlineLevel="0" collapsed="false">
      <c r="A6" s="39" t="n">
        <v>1500</v>
      </c>
      <c r="B6" s="39" t="n">
        <v>513.321</v>
      </c>
      <c r="C6" s="39" t="n">
        <v>2004.01</v>
      </c>
      <c r="D6" s="39" t="n">
        <v>0.00227457</v>
      </c>
      <c r="E6" s="39" t="n">
        <v>1110.68</v>
      </c>
      <c r="F6" s="40" t="n">
        <v>3.75349E-007</v>
      </c>
    </row>
    <row r="7" customFormat="false" ht="14.4" hidden="false" customHeight="false" outlineLevel="0" collapsed="false">
      <c r="A7" s="39" t="n">
        <v>2000</v>
      </c>
      <c r="B7" s="39" t="n">
        <v>511.538</v>
      </c>
      <c r="C7" s="39" t="n">
        <v>1967.69</v>
      </c>
      <c r="D7" s="39" t="n">
        <v>0.00224114</v>
      </c>
      <c r="E7" s="39" t="n">
        <v>1108.75</v>
      </c>
      <c r="F7" s="40" t="n">
        <v>3.7431E-007</v>
      </c>
    </row>
    <row r="8" customFormat="false" ht="14.4" hidden="false" customHeight="false" outlineLevel="0" collapsed="false">
      <c r="A8" s="39" t="n">
        <v>2500</v>
      </c>
      <c r="B8" s="39" t="n">
        <v>509.755</v>
      </c>
      <c r="C8" s="39" t="n">
        <v>1931.91</v>
      </c>
      <c r="D8" s="39" t="n">
        <v>0.00220808</v>
      </c>
      <c r="E8" s="39" t="n">
        <v>1106.81</v>
      </c>
      <c r="F8" s="40" t="n">
        <v>3.7327E-007</v>
      </c>
    </row>
    <row r="9" customFormat="false" ht="14.4" hidden="false" customHeight="false" outlineLevel="0" collapsed="false">
      <c r="A9" s="39" t="n">
        <v>3000</v>
      </c>
      <c r="B9" s="39" t="n">
        <v>507.972</v>
      </c>
      <c r="C9" s="39" t="n">
        <v>1896.65</v>
      </c>
      <c r="D9" s="39" t="n">
        <v>0.00217539</v>
      </c>
      <c r="E9" s="39" t="n">
        <v>1104.88</v>
      </c>
      <c r="F9" s="40" t="n">
        <v>3.72228E-007</v>
      </c>
    </row>
    <row r="10" customFormat="false" ht="14.4" hidden="false" customHeight="false" outlineLevel="0" collapsed="false">
      <c r="A10" s="39" t="n">
        <v>3500</v>
      </c>
      <c r="B10" s="39" t="n">
        <v>506.188</v>
      </c>
      <c r="C10" s="39" t="n">
        <v>1861.92</v>
      </c>
      <c r="D10" s="39" t="n">
        <v>0.00214308</v>
      </c>
      <c r="E10" s="39" t="n">
        <v>1102.94</v>
      </c>
      <c r="F10" s="40" t="n">
        <v>3.71184E-007</v>
      </c>
    </row>
    <row r="11" customFormat="false" ht="14.4" hidden="false" customHeight="false" outlineLevel="0" collapsed="false">
      <c r="A11" s="39" t="n">
        <v>4000</v>
      </c>
      <c r="B11" s="39" t="n">
        <v>504.405</v>
      </c>
      <c r="C11" s="39" t="n">
        <v>1827.71</v>
      </c>
      <c r="D11" s="39" t="n">
        <v>0.00211114</v>
      </c>
      <c r="E11" s="39" t="n">
        <v>1100.99</v>
      </c>
      <c r="F11" s="40" t="n">
        <v>3.70138E-007</v>
      </c>
    </row>
    <row r="12" customFormat="false" ht="14.4" hidden="false" customHeight="false" outlineLevel="0" collapsed="false">
      <c r="A12" s="39" t="n">
        <v>4500</v>
      </c>
      <c r="B12" s="39" t="n">
        <v>502.622</v>
      </c>
      <c r="C12" s="39" t="n">
        <v>1794</v>
      </c>
      <c r="D12" s="39" t="n">
        <v>0.00207956</v>
      </c>
      <c r="E12" s="39" t="n">
        <v>1099.04</v>
      </c>
      <c r="F12" s="40" t="n">
        <v>3.6909E-007</v>
      </c>
    </row>
    <row r="13" customFormat="false" ht="14.4" hidden="false" customHeight="false" outlineLevel="0" collapsed="false">
      <c r="A13" s="39" t="n">
        <v>5000</v>
      </c>
      <c r="B13" s="39" t="n">
        <v>500.839</v>
      </c>
      <c r="C13" s="39" t="n">
        <v>1760.8</v>
      </c>
      <c r="D13" s="39" t="n">
        <v>0.00204834</v>
      </c>
      <c r="E13" s="39" t="n">
        <v>1097.09</v>
      </c>
      <c r="F13" s="40" t="n">
        <v>3.68041E-007</v>
      </c>
    </row>
    <row r="14" customFormat="false" ht="14.4" hidden="false" customHeight="false" outlineLevel="0" collapsed="false">
      <c r="A14" s="39" t="n">
        <v>5500</v>
      </c>
      <c r="B14" s="39" t="n">
        <v>499.056</v>
      </c>
      <c r="C14" s="39" t="n">
        <v>1728.1</v>
      </c>
      <c r="D14" s="39" t="n">
        <v>0.00201748</v>
      </c>
      <c r="E14" s="39" t="n">
        <v>1095.14</v>
      </c>
      <c r="F14" s="40" t="n">
        <v>3.66991E-007</v>
      </c>
    </row>
    <row r="15" customFormat="false" ht="14.4" hidden="false" customHeight="false" outlineLevel="0" collapsed="false">
      <c r="A15" s="39" t="n">
        <v>6000</v>
      </c>
      <c r="B15" s="39" t="n">
        <v>497.273</v>
      </c>
      <c r="C15" s="39" t="n">
        <v>1695.9</v>
      </c>
      <c r="D15" s="39" t="n">
        <v>0.00198698</v>
      </c>
      <c r="E15" s="39" t="n">
        <v>1093.18</v>
      </c>
      <c r="F15" s="40" t="n">
        <v>3.65938E-007</v>
      </c>
    </row>
    <row r="16" customFormat="false" ht="14.4" hidden="false" customHeight="false" outlineLevel="0" collapsed="false">
      <c r="A16" s="39" t="n">
        <v>6500</v>
      </c>
      <c r="B16" s="39" t="n">
        <v>495.49</v>
      </c>
      <c r="C16" s="39" t="n">
        <v>1664.18</v>
      </c>
      <c r="D16" s="39" t="n">
        <v>0.00195684</v>
      </c>
      <c r="E16" s="39" t="n">
        <v>1091.22</v>
      </c>
      <c r="F16" s="40" t="n">
        <v>3.64884E-007</v>
      </c>
    </row>
    <row r="17" customFormat="false" ht="14.4" hidden="false" customHeight="false" outlineLevel="0" collapsed="false">
      <c r="A17" s="39" t="n">
        <v>7000</v>
      </c>
      <c r="B17" s="39" t="n">
        <v>493.707</v>
      </c>
      <c r="C17" s="39" t="n">
        <v>1632.94</v>
      </c>
      <c r="D17" s="39" t="n">
        <v>0.00192704</v>
      </c>
      <c r="E17" s="39" t="n">
        <v>1089.25</v>
      </c>
      <c r="F17" s="40" t="n">
        <v>3.63828E-007</v>
      </c>
    </row>
    <row r="18" customFormat="false" ht="14.4" hidden="false" customHeight="false" outlineLevel="0" collapsed="false">
      <c r="A18" s="39" t="n">
        <v>7500</v>
      </c>
      <c r="B18" s="39" t="n">
        <v>491.924</v>
      </c>
      <c r="C18" s="39" t="n">
        <v>1602.18</v>
      </c>
      <c r="D18" s="39" t="n">
        <v>0.0018976</v>
      </c>
      <c r="E18" s="39" t="n">
        <v>1087.28</v>
      </c>
      <c r="F18" s="40" t="n">
        <v>3.6277E-007</v>
      </c>
    </row>
    <row r="19" customFormat="false" ht="14.4" hidden="false" customHeight="false" outlineLevel="0" collapsed="false">
      <c r="A19" s="39" t="n">
        <v>8000</v>
      </c>
      <c r="B19" s="39" t="n">
        <v>490.141</v>
      </c>
      <c r="C19" s="39" t="n">
        <v>1571.9</v>
      </c>
      <c r="D19" s="39" t="n">
        <v>0.0018685</v>
      </c>
      <c r="E19" s="39" t="n">
        <v>1085.31</v>
      </c>
      <c r="F19" s="40" t="n">
        <v>3.6171E-007</v>
      </c>
    </row>
    <row r="20" customFormat="false" ht="14.4" hidden="false" customHeight="false" outlineLevel="0" collapsed="false">
      <c r="A20" s="39" t="n">
        <v>8500</v>
      </c>
      <c r="B20" s="39" t="n">
        <v>488.358</v>
      </c>
      <c r="C20" s="39" t="n">
        <v>1542.07</v>
      </c>
      <c r="D20" s="39" t="n">
        <v>0.00183974</v>
      </c>
      <c r="E20" s="39" t="n">
        <v>1083.34</v>
      </c>
      <c r="F20" s="40" t="n">
        <v>3.60649E-007</v>
      </c>
    </row>
    <row r="21" customFormat="false" ht="14.4" hidden="false" customHeight="false" outlineLevel="0" collapsed="false">
      <c r="A21" s="39" t="n">
        <v>9000</v>
      </c>
      <c r="B21" s="39" t="n">
        <v>486.575</v>
      </c>
      <c r="C21" s="39" t="n">
        <v>1512.71</v>
      </c>
      <c r="D21" s="39" t="n">
        <v>0.00181132</v>
      </c>
      <c r="E21" s="39" t="n">
        <v>1081.36</v>
      </c>
      <c r="F21" s="40" t="n">
        <v>3.59586E-007</v>
      </c>
    </row>
    <row r="22" customFormat="false" ht="14.4" hidden="false" customHeight="false" outlineLevel="0" collapsed="false">
      <c r="A22" s="39" t="n">
        <v>9500</v>
      </c>
      <c r="B22" s="39" t="n">
        <v>484.791</v>
      </c>
      <c r="C22" s="39" t="n">
        <v>1483.8</v>
      </c>
      <c r="D22" s="39" t="n">
        <v>0.00178324</v>
      </c>
      <c r="E22" s="39" t="n">
        <v>1079.37</v>
      </c>
      <c r="F22" s="40" t="n">
        <v>3.58521E-007</v>
      </c>
    </row>
    <row r="23" customFormat="false" ht="14.4" hidden="false" customHeight="false" outlineLevel="0" collapsed="false">
      <c r="A23" s="39" t="n">
        <v>10000</v>
      </c>
      <c r="B23" s="39" t="n">
        <v>483.008</v>
      </c>
      <c r="C23" s="39" t="n">
        <v>1455.34</v>
      </c>
      <c r="D23" s="39" t="n">
        <v>0.00175549</v>
      </c>
      <c r="E23" s="39" t="n">
        <v>1077.39</v>
      </c>
      <c r="F23" s="40" t="n">
        <v>3.57454E-007</v>
      </c>
    </row>
    <row r="24" customFormat="false" ht="14.4" hidden="false" customHeight="false" outlineLevel="0" collapsed="false">
      <c r="A24" s="39" t="n">
        <v>10500</v>
      </c>
      <c r="B24" s="39" t="n">
        <v>481.225</v>
      </c>
      <c r="C24" s="39" t="n">
        <v>1427.32</v>
      </c>
      <c r="D24" s="39" t="n">
        <v>0.00172808</v>
      </c>
      <c r="E24" s="39" t="n">
        <v>1075.4</v>
      </c>
      <c r="F24" s="40" t="n">
        <v>3.56386E-007</v>
      </c>
    </row>
    <row r="25" customFormat="false" ht="14.4" hidden="false" customHeight="false" outlineLevel="0" collapsed="false">
      <c r="A25" s="39" t="n">
        <v>11000</v>
      </c>
      <c r="B25" s="39" t="n">
        <v>479.442</v>
      </c>
      <c r="C25" s="39" t="n">
        <v>1399.74</v>
      </c>
      <c r="D25" s="39" t="n">
        <v>0.00170099</v>
      </c>
      <c r="E25" s="39" t="n">
        <v>1073.4</v>
      </c>
      <c r="F25" s="40" t="n">
        <v>3.55316E-007</v>
      </c>
    </row>
    <row r="26" customFormat="false" ht="14.4" hidden="false" customHeight="false" outlineLevel="0" collapsed="false">
      <c r="A26" s="39" t="n">
        <v>11500</v>
      </c>
      <c r="B26" s="39" t="n">
        <v>477.659</v>
      </c>
      <c r="C26" s="39" t="n">
        <v>1372.6</v>
      </c>
      <c r="D26" s="39" t="n">
        <v>0.00167423</v>
      </c>
      <c r="E26" s="39" t="n">
        <v>1071.4</v>
      </c>
      <c r="F26" s="40" t="n">
        <v>3.54244E-007</v>
      </c>
    </row>
    <row r="27" customFormat="false" ht="14.4" hidden="false" customHeight="false" outlineLevel="0" collapsed="false">
      <c r="A27" s="39" t="n">
        <v>12000</v>
      </c>
      <c r="B27" s="39" t="n">
        <v>475.876</v>
      </c>
      <c r="C27" s="39" t="n">
        <v>1345.88</v>
      </c>
      <c r="D27" s="39" t="n">
        <v>0.00164779</v>
      </c>
      <c r="E27" s="39" t="n">
        <v>1069.4</v>
      </c>
      <c r="F27" s="40" t="n">
        <v>3.5317E-007</v>
      </c>
    </row>
    <row r="28" customFormat="false" ht="14.4" hidden="false" customHeight="false" outlineLevel="0" collapsed="false">
      <c r="A28" s="39" t="n">
        <v>12500</v>
      </c>
      <c r="B28" s="39" t="n">
        <v>474.093</v>
      </c>
      <c r="C28" s="39" t="n">
        <v>1319.59</v>
      </c>
      <c r="D28" s="39" t="n">
        <v>0.00162168</v>
      </c>
      <c r="E28" s="39" t="n">
        <v>1067.4</v>
      </c>
      <c r="F28" s="40" t="n">
        <v>3.52094E-007</v>
      </c>
    </row>
    <row r="29" customFormat="false" ht="14.4" hidden="false" customHeight="false" outlineLevel="0" collapsed="false">
      <c r="A29" s="39" t="n">
        <v>13000</v>
      </c>
      <c r="B29" s="39" t="n">
        <v>472.31</v>
      </c>
      <c r="C29" s="39" t="n">
        <v>1293.71</v>
      </c>
      <c r="D29" s="39" t="n">
        <v>0.00159588</v>
      </c>
      <c r="E29" s="39" t="n">
        <v>1065.39</v>
      </c>
      <c r="F29" s="40" t="n">
        <v>3.51016E-007</v>
      </c>
    </row>
    <row r="30" customFormat="false" ht="14.4" hidden="false" customHeight="false" outlineLevel="0" collapsed="false">
      <c r="A30" s="39" t="n">
        <v>13500</v>
      </c>
      <c r="B30" s="39" t="n">
        <v>470.527</v>
      </c>
      <c r="C30" s="39" t="n">
        <v>1268.25</v>
      </c>
      <c r="D30" s="39" t="n">
        <v>0.00157039</v>
      </c>
      <c r="E30" s="39" t="n">
        <v>1063.37</v>
      </c>
      <c r="F30" s="40" t="n">
        <v>3.49937E-007</v>
      </c>
    </row>
    <row r="31" customFormat="false" ht="14.4" hidden="false" customHeight="false" outlineLevel="0" collapsed="false">
      <c r="A31" s="39" t="n">
        <v>14000</v>
      </c>
      <c r="B31" s="39" t="n">
        <v>468.744</v>
      </c>
      <c r="C31" s="39" t="n">
        <v>1243.19</v>
      </c>
      <c r="D31" s="39" t="n">
        <v>0.00154522</v>
      </c>
      <c r="E31" s="39" t="n">
        <v>1061.36</v>
      </c>
      <c r="F31" s="40" t="n">
        <v>3.48856E-007</v>
      </c>
    </row>
    <row r="32" customFormat="false" ht="14.4" hidden="false" customHeight="false" outlineLevel="0" collapsed="false">
      <c r="A32" s="39" t="n">
        <v>14500</v>
      </c>
      <c r="B32" s="39" t="n">
        <v>466.961</v>
      </c>
      <c r="C32" s="39" t="n">
        <v>1218.53</v>
      </c>
      <c r="D32" s="39" t="n">
        <v>0.00152036</v>
      </c>
      <c r="E32" s="39" t="n">
        <v>1059.34</v>
      </c>
      <c r="F32" s="40" t="n">
        <v>3.47773E-007</v>
      </c>
    </row>
    <row r="33" customFormat="false" ht="14.4" hidden="false" customHeight="false" outlineLevel="0" collapsed="false">
      <c r="A33" s="39" t="n">
        <v>15000</v>
      </c>
      <c r="B33" s="39" t="n">
        <v>465.178</v>
      </c>
      <c r="C33" s="39" t="n">
        <v>1194.28</v>
      </c>
      <c r="D33" s="39" t="n">
        <v>0.00149581</v>
      </c>
      <c r="E33" s="39" t="n">
        <v>1057.31</v>
      </c>
      <c r="F33" s="40" t="n">
        <v>3.46688E-007</v>
      </c>
    </row>
    <row r="34" customFormat="false" ht="14.4" hidden="false" customHeight="false" outlineLevel="0" collapsed="false">
      <c r="A34" s="39" t="n">
        <v>15500</v>
      </c>
      <c r="B34" s="39" t="n">
        <v>463.395</v>
      </c>
      <c r="C34" s="39" t="n">
        <v>1170.41</v>
      </c>
      <c r="D34" s="39" t="n">
        <v>0.00147156</v>
      </c>
      <c r="E34" s="39" t="n">
        <v>1055.28</v>
      </c>
      <c r="F34" s="40" t="n">
        <v>3.45601E-007</v>
      </c>
    </row>
    <row r="35" customFormat="false" ht="14.4" hidden="false" customHeight="false" outlineLevel="0" collapsed="false">
      <c r="A35" s="39" t="n">
        <v>16000</v>
      </c>
      <c r="B35" s="39" t="n">
        <v>461.611</v>
      </c>
      <c r="C35" s="39" t="n">
        <v>1146.93</v>
      </c>
      <c r="D35" s="39" t="n">
        <v>0.00144761</v>
      </c>
      <c r="E35" s="39" t="n">
        <v>1053.25</v>
      </c>
      <c r="F35" s="40" t="n">
        <v>3.44513E-007</v>
      </c>
    </row>
    <row r="36" customFormat="false" ht="14.4" hidden="false" customHeight="false" outlineLevel="0" collapsed="false">
      <c r="A36" s="39" t="n">
        <v>16500</v>
      </c>
      <c r="B36" s="39" t="n">
        <v>459.828</v>
      </c>
      <c r="C36" s="39" t="n">
        <v>1123.84</v>
      </c>
      <c r="D36" s="39" t="n">
        <v>0.00142396</v>
      </c>
      <c r="E36" s="39" t="n">
        <v>1051.22</v>
      </c>
      <c r="F36" s="40" t="n">
        <v>3.43422E-007</v>
      </c>
    </row>
    <row r="37" customFormat="false" ht="14.4" hidden="false" customHeight="false" outlineLevel="0" collapsed="false">
      <c r="A37" s="39" t="n">
        <v>17000</v>
      </c>
      <c r="B37" s="39" t="n">
        <v>458.045</v>
      </c>
      <c r="C37" s="39" t="n">
        <v>1101.12</v>
      </c>
      <c r="D37" s="39" t="n">
        <v>0.00140061</v>
      </c>
      <c r="E37" s="39" t="n">
        <v>1049.18</v>
      </c>
      <c r="F37" s="40" t="n">
        <v>3.4233E-007</v>
      </c>
    </row>
    <row r="38" customFormat="false" ht="14.4" hidden="false" customHeight="false" outlineLevel="0" collapsed="false">
      <c r="A38" s="39" t="n">
        <v>17500</v>
      </c>
      <c r="B38" s="39" t="n">
        <v>456.262</v>
      </c>
      <c r="C38" s="39" t="n">
        <v>1078.78</v>
      </c>
      <c r="D38" s="39" t="n">
        <v>0.00137755</v>
      </c>
      <c r="E38" s="39" t="n">
        <v>1047.13</v>
      </c>
      <c r="F38" s="40" t="n">
        <v>3.41235E-007</v>
      </c>
    </row>
    <row r="39" customFormat="false" ht="14.4" hidden="false" customHeight="false" outlineLevel="0" collapsed="false">
      <c r="A39" s="39" t="n">
        <v>18000</v>
      </c>
      <c r="B39" s="39" t="n">
        <v>454.479</v>
      </c>
      <c r="C39" s="39" t="n">
        <v>1056.81</v>
      </c>
      <c r="D39" s="39" t="n">
        <v>0.00135479</v>
      </c>
      <c r="E39" s="39" t="n">
        <v>1045.08</v>
      </c>
      <c r="F39" s="40" t="n">
        <v>3.40139E-007</v>
      </c>
    </row>
    <row r="40" customFormat="false" ht="14.4" hidden="false" customHeight="false" outlineLevel="0" collapsed="false">
      <c r="A40" s="39" t="n">
        <v>18500</v>
      </c>
      <c r="B40" s="39" t="n">
        <v>452.696</v>
      </c>
      <c r="C40" s="39" t="n">
        <v>1035.19</v>
      </c>
      <c r="D40" s="39" t="n">
        <v>0.00133231</v>
      </c>
      <c r="E40" s="39" t="n">
        <v>1043.03</v>
      </c>
      <c r="F40" s="40" t="n">
        <v>3.39041E-007</v>
      </c>
    </row>
    <row r="41" customFormat="false" ht="14.4" hidden="false" customHeight="false" outlineLevel="0" collapsed="false">
      <c r="A41" s="39" t="n">
        <v>19000</v>
      </c>
      <c r="B41" s="39" t="n">
        <v>450.913</v>
      </c>
      <c r="C41" s="39" t="n">
        <v>1013.94</v>
      </c>
      <c r="D41" s="39" t="n">
        <v>0.00131012</v>
      </c>
      <c r="E41" s="39" t="n">
        <v>1040.97</v>
      </c>
      <c r="F41" s="40" t="n">
        <v>3.37941E-007</v>
      </c>
    </row>
    <row r="42" customFormat="false" ht="14.4" hidden="false" customHeight="false" outlineLevel="0" collapsed="false">
      <c r="A42" s="39" t="n">
        <v>19500</v>
      </c>
      <c r="B42" s="39" t="n">
        <v>449.13</v>
      </c>
      <c r="C42" s="39" t="n">
        <v>993.046</v>
      </c>
      <c r="D42" s="39" t="n">
        <v>0.00128821</v>
      </c>
      <c r="E42" s="39" t="n">
        <v>1038.91</v>
      </c>
      <c r="F42" s="40" t="n">
        <v>3.36839E-007</v>
      </c>
    </row>
    <row r="43" customFormat="false" ht="14.4" hidden="false" customHeight="false" outlineLevel="0" collapsed="false">
      <c r="A43" s="39" t="n">
        <v>20000</v>
      </c>
      <c r="B43" s="39" t="n">
        <v>447.347</v>
      </c>
      <c r="C43" s="39" t="n">
        <v>972.499</v>
      </c>
      <c r="D43" s="39" t="n">
        <v>0.00126659</v>
      </c>
      <c r="E43" s="39" t="n">
        <v>1036.85</v>
      </c>
      <c r="F43" s="40" t="n">
        <v>3.35735E-007</v>
      </c>
    </row>
    <row r="44" customFormat="false" ht="14.4" hidden="false" customHeight="false" outlineLevel="0" collapsed="false">
      <c r="A44" s="39" t="n">
        <v>20500</v>
      </c>
      <c r="B44" s="39" t="n">
        <v>445.564</v>
      </c>
      <c r="C44" s="39" t="n">
        <v>952.298</v>
      </c>
      <c r="D44" s="39" t="n">
        <v>0.00124524</v>
      </c>
      <c r="E44" s="39" t="n">
        <v>1034.78</v>
      </c>
      <c r="F44" s="40" t="n">
        <v>3.34629E-007</v>
      </c>
    </row>
    <row r="45" customFormat="false" ht="14.4" hidden="false" customHeight="false" outlineLevel="0" collapsed="false">
      <c r="A45" s="39" t="n">
        <v>21000</v>
      </c>
      <c r="B45" s="39" t="n">
        <v>443.781</v>
      </c>
      <c r="C45" s="39" t="n">
        <v>932.438</v>
      </c>
      <c r="D45" s="39" t="n">
        <v>0.00122417</v>
      </c>
      <c r="E45" s="39" t="n">
        <v>1032.71</v>
      </c>
      <c r="F45" s="40" t="n">
        <v>3.33522E-007</v>
      </c>
    </row>
    <row r="46" customFormat="false" ht="14.4" hidden="false" customHeight="false" outlineLevel="0" collapsed="false">
      <c r="A46" s="39" t="n">
        <v>21500</v>
      </c>
      <c r="B46" s="39" t="n">
        <v>441.998</v>
      </c>
      <c r="C46" s="39" t="n">
        <v>912.915</v>
      </c>
      <c r="D46" s="39" t="n">
        <v>0.00120337</v>
      </c>
      <c r="E46" s="39" t="n">
        <v>1030.63</v>
      </c>
      <c r="F46" s="40" t="n">
        <v>3.32412E-007</v>
      </c>
    </row>
    <row r="47" customFormat="false" ht="14.4" hidden="false" customHeight="false" outlineLevel="0" collapsed="false">
      <c r="A47" s="39" t="n">
        <v>22000</v>
      </c>
      <c r="B47" s="39" t="n">
        <v>440.214</v>
      </c>
      <c r="C47" s="39" t="n">
        <v>893.724</v>
      </c>
      <c r="D47" s="39" t="n">
        <v>0.00118285</v>
      </c>
      <c r="E47" s="39" t="n">
        <v>1028.55</v>
      </c>
      <c r="F47" s="40" t="n">
        <v>3.313E-007</v>
      </c>
    </row>
    <row r="48" customFormat="false" ht="14.4" hidden="false" customHeight="false" outlineLevel="0" collapsed="false">
      <c r="A48" s="39" t="n">
        <v>22500</v>
      </c>
      <c r="B48" s="39" t="n">
        <v>438.431</v>
      </c>
      <c r="C48" s="39" t="n">
        <v>874.861</v>
      </c>
      <c r="D48" s="39" t="n">
        <v>0.00116259</v>
      </c>
      <c r="E48" s="39" t="n">
        <v>1026.47</v>
      </c>
      <c r="F48" s="40" t="n">
        <v>3.30186E-007</v>
      </c>
    </row>
    <row r="49" customFormat="false" ht="14.4" hidden="false" customHeight="false" outlineLevel="0" collapsed="false">
      <c r="A49" s="39" t="n">
        <v>23000</v>
      </c>
      <c r="B49" s="39" t="n">
        <v>436.648</v>
      </c>
      <c r="C49" s="39" t="n">
        <v>856.321</v>
      </c>
      <c r="D49" s="39" t="n">
        <v>0.0011426</v>
      </c>
      <c r="E49" s="39" t="n">
        <v>1024.38</v>
      </c>
      <c r="F49" s="40" t="n">
        <v>3.29071E-007</v>
      </c>
    </row>
    <row r="50" customFormat="false" ht="14.4" hidden="false" customHeight="false" outlineLevel="0" collapsed="false">
      <c r="A50" s="39" t="n">
        <v>23500</v>
      </c>
      <c r="B50" s="39" t="n">
        <v>434.865</v>
      </c>
      <c r="C50" s="39" t="n">
        <v>838.101</v>
      </c>
      <c r="D50" s="39" t="n">
        <v>0.00112287</v>
      </c>
      <c r="E50" s="39" t="n">
        <v>1022.28</v>
      </c>
      <c r="F50" s="40" t="n">
        <v>3.27953E-007</v>
      </c>
    </row>
    <row r="51" customFormat="false" ht="14.4" hidden="false" customHeight="false" outlineLevel="0" collapsed="false">
      <c r="A51" s="39" t="n">
        <v>24000</v>
      </c>
      <c r="B51" s="39" t="n">
        <v>433.082</v>
      </c>
      <c r="C51" s="39" t="n">
        <v>820.196</v>
      </c>
      <c r="D51" s="39" t="n">
        <v>0.00110341</v>
      </c>
      <c r="E51" s="39" t="n">
        <v>1020.19</v>
      </c>
      <c r="F51" s="40" t="n">
        <v>3.26834E-007</v>
      </c>
    </row>
    <row r="52" customFormat="false" ht="14.4" hidden="false" customHeight="false" outlineLevel="0" collapsed="false">
      <c r="A52" s="39" t="n">
        <v>24500</v>
      </c>
      <c r="B52" s="39" t="n">
        <v>431.299</v>
      </c>
      <c r="C52" s="39" t="n">
        <v>802.603</v>
      </c>
      <c r="D52" s="39" t="n">
        <v>0.00108421</v>
      </c>
      <c r="E52" s="39" t="n">
        <v>1018.08</v>
      </c>
      <c r="F52" s="40" t="n">
        <v>3.25712E-007</v>
      </c>
    </row>
    <row r="53" customFormat="false" ht="14.4" hidden="false" customHeight="false" outlineLevel="0" collapsed="false">
      <c r="A53" s="39" t="n">
        <v>25000</v>
      </c>
      <c r="B53" s="39" t="n">
        <v>429.516</v>
      </c>
      <c r="C53" s="39" t="n">
        <v>785.316</v>
      </c>
      <c r="D53" s="39" t="n">
        <v>0.00106526</v>
      </c>
      <c r="E53" s="39" t="n">
        <v>1015.98</v>
      </c>
      <c r="F53" s="40" t="n">
        <v>3.24588E-007</v>
      </c>
    </row>
    <row r="54" customFormat="false" ht="14.4" hidden="false" customHeight="false" outlineLevel="0" collapsed="false">
      <c r="A54" s="39" t="n">
        <v>25500</v>
      </c>
      <c r="B54" s="39" t="n">
        <v>427.733</v>
      </c>
      <c r="C54" s="39" t="n">
        <v>768.332</v>
      </c>
      <c r="D54" s="39" t="n">
        <v>0.00104656</v>
      </c>
      <c r="E54" s="39" t="n">
        <v>1013.87</v>
      </c>
      <c r="F54" s="40" t="n">
        <v>3.23463E-007</v>
      </c>
    </row>
    <row r="55" customFormat="false" ht="14.4" hidden="false" customHeight="false" outlineLevel="0" collapsed="false">
      <c r="A55" s="39" t="n">
        <v>26000</v>
      </c>
      <c r="B55" s="39" t="n">
        <v>425.95</v>
      </c>
      <c r="C55" s="39" t="n">
        <v>751.646</v>
      </c>
      <c r="D55" s="39" t="n">
        <v>0.00102812</v>
      </c>
      <c r="E55" s="39" t="n">
        <v>1011.75</v>
      </c>
      <c r="F55" s="40" t="n">
        <v>3.22335E-007</v>
      </c>
    </row>
    <row r="56" customFormat="false" ht="14.4" hidden="false" customHeight="false" outlineLevel="0" collapsed="false">
      <c r="A56" s="39" t="n">
        <v>26500</v>
      </c>
      <c r="B56" s="39" t="n">
        <v>424.167</v>
      </c>
      <c r="C56" s="39" t="n">
        <v>735.255</v>
      </c>
      <c r="D56" s="39" t="n">
        <v>0.00100993</v>
      </c>
      <c r="E56" s="39" t="n">
        <v>1009.63</v>
      </c>
      <c r="F56" s="40" t="n">
        <v>3.21205E-007</v>
      </c>
    </row>
    <row r="57" customFormat="false" ht="14.4" hidden="false" customHeight="false" outlineLevel="0" collapsed="false">
      <c r="A57" s="39" t="n">
        <v>27000</v>
      </c>
      <c r="B57" s="39" t="n">
        <v>422.384</v>
      </c>
      <c r="C57" s="39" t="n">
        <v>719.155</v>
      </c>
      <c r="D57" s="39" t="n">
        <v>0.000991984</v>
      </c>
      <c r="E57" s="39" t="n">
        <v>1007.51</v>
      </c>
      <c r="F57" s="40" t="n">
        <v>3.20074E-007</v>
      </c>
    </row>
    <row r="58" customFormat="false" ht="14.4" hidden="false" customHeight="false" outlineLevel="0" collapsed="false">
      <c r="A58" s="39" t="n">
        <v>27500</v>
      </c>
      <c r="B58" s="39" t="n">
        <v>420.601</v>
      </c>
      <c r="C58" s="39" t="n">
        <v>703.341</v>
      </c>
      <c r="D58" s="39" t="n">
        <v>0.000974284</v>
      </c>
      <c r="E58" s="39" t="n">
        <v>1005.38</v>
      </c>
      <c r="F58" s="40" t="n">
        <v>3.1894E-007</v>
      </c>
    </row>
    <row r="59" customFormat="false" ht="14.4" hidden="false" customHeight="false" outlineLevel="0" collapsed="false">
      <c r="A59" s="39" t="n">
        <v>28000</v>
      </c>
      <c r="B59" s="39" t="n">
        <v>418.818</v>
      </c>
      <c r="C59" s="39" t="n">
        <v>687.81</v>
      </c>
      <c r="D59" s="39" t="n">
        <v>0.000956827</v>
      </c>
      <c r="E59" s="39" t="n">
        <v>1003.24</v>
      </c>
      <c r="F59" s="40" t="n">
        <v>3.17804E-007</v>
      </c>
    </row>
    <row r="60" customFormat="false" ht="14.4" hidden="false" customHeight="false" outlineLevel="0" collapsed="false">
      <c r="A60" s="39" t="n">
        <v>28500</v>
      </c>
      <c r="B60" s="39" t="n">
        <v>417.034</v>
      </c>
      <c r="C60" s="39" t="n">
        <v>672.558</v>
      </c>
      <c r="D60" s="39" t="n">
        <v>0.00093961</v>
      </c>
      <c r="E60" s="39" t="n">
        <v>1001.11</v>
      </c>
      <c r="F60" s="40" t="n">
        <v>3.16666E-007</v>
      </c>
    </row>
    <row r="61" customFormat="false" ht="14.4" hidden="false" customHeight="false" outlineLevel="0" collapsed="false">
      <c r="A61" s="39" t="n">
        <v>29000</v>
      </c>
      <c r="B61" s="39" t="n">
        <v>415.251</v>
      </c>
      <c r="C61" s="39" t="n">
        <v>657.582</v>
      </c>
      <c r="D61" s="39" t="n">
        <v>0.000922631</v>
      </c>
      <c r="E61" s="39" t="n">
        <v>998.963</v>
      </c>
      <c r="F61" s="40" t="n">
        <v>3.15526E-007</v>
      </c>
    </row>
    <row r="62" customFormat="false" ht="14.4" hidden="false" customHeight="false" outlineLevel="0" collapsed="false">
      <c r="A62" s="39" t="n">
        <v>29500</v>
      </c>
      <c r="B62" s="39" t="n">
        <v>413.468</v>
      </c>
      <c r="C62" s="39" t="n">
        <v>642.876</v>
      </c>
      <c r="D62" s="39" t="n">
        <v>0.000905888</v>
      </c>
      <c r="E62" s="39" t="n">
        <v>996.816</v>
      </c>
      <c r="F62" s="40" t="n">
        <v>3.14384E-007</v>
      </c>
    </row>
    <row r="63" customFormat="false" ht="14.4" hidden="false" customHeight="false" outlineLevel="0" collapsed="false">
      <c r="A63" s="39" t="n">
        <v>30000</v>
      </c>
      <c r="B63" s="39" t="n">
        <v>411.685</v>
      </c>
      <c r="C63" s="39" t="n">
        <v>628.438</v>
      </c>
      <c r="D63" s="39" t="n">
        <v>0.000889378</v>
      </c>
      <c r="E63" s="39" t="n">
        <v>994.664</v>
      </c>
      <c r="F63" s="40" t="n">
        <v>3.1324E-007</v>
      </c>
    </row>
    <row r="64" customFormat="false" ht="14.4" hidden="false" customHeight="false" outlineLevel="0" collapsed="false">
      <c r="A64" s="39" t="n">
        <v>30500</v>
      </c>
      <c r="B64" s="39" t="n">
        <v>409.902</v>
      </c>
      <c r="C64" s="39" t="n">
        <v>614.263</v>
      </c>
      <c r="D64" s="39" t="n">
        <v>0.000873099</v>
      </c>
      <c r="E64" s="39" t="n">
        <v>992.508</v>
      </c>
      <c r="F64" s="40" t="n">
        <v>3.12094E-007</v>
      </c>
    </row>
    <row r="65" customFormat="false" ht="14.4" hidden="false" customHeight="false" outlineLevel="0" collapsed="false">
      <c r="A65" s="39" t="n">
        <v>31000</v>
      </c>
      <c r="B65" s="39" t="n">
        <v>408.119</v>
      </c>
      <c r="C65" s="39" t="n">
        <v>600.348</v>
      </c>
      <c r="D65" s="39" t="n">
        <v>0.00085705</v>
      </c>
      <c r="E65" s="39" t="n">
        <v>990.347</v>
      </c>
      <c r="F65" s="40" t="n">
        <v>3.10945E-007</v>
      </c>
    </row>
    <row r="66" customFormat="false" ht="14.4" hidden="false" customHeight="false" outlineLevel="0" collapsed="false">
      <c r="A66" s="39" t="n">
        <v>31500</v>
      </c>
      <c r="B66" s="39" t="n">
        <v>406.336</v>
      </c>
      <c r="C66" s="39" t="n">
        <v>586.69</v>
      </c>
      <c r="D66" s="39" t="n">
        <v>0.000841227</v>
      </c>
      <c r="E66" s="39" t="n">
        <v>988.181</v>
      </c>
      <c r="F66" s="40" t="n">
        <v>3.09795E-007</v>
      </c>
    </row>
    <row r="67" customFormat="false" ht="14.4" hidden="false" customHeight="false" outlineLevel="0" collapsed="false">
      <c r="A67" s="39" t="n">
        <v>32000</v>
      </c>
      <c r="B67" s="39" t="n">
        <v>404.553</v>
      </c>
      <c r="C67" s="39" t="n">
        <v>573.285</v>
      </c>
      <c r="D67" s="39" t="n">
        <v>0.000825628</v>
      </c>
      <c r="E67" s="39" t="n">
        <v>986.01</v>
      </c>
      <c r="F67" s="40" t="n">
        <v>3.08642E-007</v>
      </c>
    </row>
    <row r="68" customFormat="false" ht="14.4" hidden="false" customHeight="false" outlineLevel="0" collapsed="false">
      <c r="A68" s="39" t="n">
        <v>32500</v>
      </c>
      <c r="B68" s="39" t="n">
        <v>402.77</v>
      </c>
      <c r="C68" s="39" t="n">
        <v>560.128</v>
      </c>
      <c r="D68" s="39" t="n">
        <v>0.000810252</v>
      </c>
      <c r="E68" s="39" t="n">
        <v>983.835</v>
      </c>
      <c r="F68" s="40" t="n">
        <v>3.07487E-007</v>
      </c>
    </row>
    <row r="69" customFormat="false" ht="14.4" hidden="false" customHeight="false" outlineLevel="0" collapsed="false">
      <c r="A69" s="39" t="n">
        <v>33000</v>
      </c>
      <c r="B69" s="39" t="n">
        <v>400.987</v>
      </c>
      <c r="C69" s="39" t="n">
        <v>547.217</v>
      </c>
      <c r="D69" s="39" t="n">
        <v>0.000795096</v>
      </c>
      <c r="E69" s="39" t="n">
        <v>981.655</v>
      </c>
      <c r="F69" s="40" t="n">
        <v>3.0633E-007</v>
      </c>
    </row>
    <row r="70" customFormat="false" ht="14.4" hidden="false" customHeight="false" outlineLevel="0" collapsed="false">
      <c r="A70" s="39" t="n">
        <v>33500</v>
      </c>
      <c r="B70" s="39" t="n">
        <v>399.204</v>
      </c>
      <c r="C70" s="39" t="n">
        <v>534.548</v>
      </c>
      <c r="D70" s="39" t="n">
        <v>0.000780157</v>
      </c>
      <c r="E70" s="39" t="n">
        <v>979.47</v>
      </c>
      <c r="F70" s="40" t="n">
        <v>3.05171E-007</v>
      </c>
    </row>
    <row r="71" customFormat="false" ht="14.4" hidden="false" customHeight="false" outlineLevel="0" collapsed="false">
      <c r="A71" s="39" t="n">
        <v>34000</v>
      </c>
      <c r="B71" s="39" t="n">
        <v>397.421</v>
      </c>
      <c r="C71" s="39" t="n">
        <v>522.118</v>
      </c>
      <c r="D71" s="39" t="n">
        <v>0.000765434</v>
      </c>
      <c r="E71" s="39" t="n">
        <v>977.28</v>
      </c>
      <c r="F71" s="40" t="n">
        <v>3.0401E-007</v>
      </c>
    </row>
    <row r="72" customFormat="false" ht="14.4" hidden="false" customHeight="false" outlineLevel="0" collapsed="false">
      <c r="A72" s="39" t="n">
        <v>34500</v>
      </c>
      <c r="B72" s="39" t="n">
        <v>395.637</v>
      </c>
      <c r="C72" s="39" t="n">
        <v>509.923</v>
      </c>
      <c r="D72" s="39" t="n">
        <v>0.000750925</v>
      </c>
      <c r="E72" s="39" t="n">
        <v>975.085</v>
      </c>
      <c r="F72" s="40" t="n">
        <v>3.02847E-007</v>
      </c>
    </row>
    <row r="73" customFormat="false" ht="14.4" hidden="false" customHeight="false" outlineLevel="0" collapsed="false">
      <c r="A73" s="39" t="n">
        <v>35000</v>
      </c>
      <c r="B73" s="39" t="n">
        <v>393.854</v>
      </c>
      <c r="C73" s="39" t="n">
        <v>497.959</v>
      </c>
      <c r="D73" s="39" t="n">
        <v>0.000736627</v>
      </c>
      <c r="E73" s="39" t="n">
        <v>972.885</v>
      </c>
      <c r="F73" s="40" t="n">
        <v>3.01681E-007</v>
      </c>
    </row>
    <row r="74" customFormat="false" ht="14.4" hidden="false" customHeight="false" outlineLevel="0" collapsed="false">
      <c r="A74" s="39" t="n">
        <v>35500</v>
      </c>
      <c r="B74" s="39" t="n">
        <v>392.071</v>
      </c>
      <c r="C74" s="39" t="n">
        <v>486.224</v>
      </c>
      <c r="D74" s="39" t="n">
        <v>0.000722539</v>
      </c>
      <c r="E74" s="39" t="n">
        <v>970.681</v>
      </c>
      <c r="F74" s="40" t="n">
        <v>3.00514E-007</v>
      </c>
    </row>
    <row r="75" customFormat="false" ht="14.4" hidden="false" customHeight="false" outlineLevel="0" collapsed="false">
      <c r="A75" s="39" t="n">
        <v>36000</v>
      </c>
      <c r="B75" s="39" t="n">
        <v>390.288</v>
      </c>
      <c r="C75" s="39" t="n">
        <v>474.714</v>
      </c>
      <c r="D75" s="39" t="n">
        <v>0.000708657</v>
      </c>
      <c r="E75" s="39" t="n">
        <v>968.471</v>
      </c>
      <c r="F75" s="40" t="n">
        <v>2.99344E-007</v>
      </c>
    </row>
    <row r="76" customFormat="false" ht="14.4" hidden="false" customHeight="false" outlineLevel="0" collapsed="false">
      <c r="A76" s="39" t="n">
        <v>36500</v>
      </c>
      <c r="B76" s="39" t="n">
        <v>389.97</v>
      </c>
      <c r="C76" s="39" t="n">
        <v>463.443</v>
      </c>
      <c r="D76" s="39" t="n">
        <v>0.000692396</v>
      </c>
      <c r="E76" s="39" t="n">
        <v>968.076</v>
      </c>
      <c r="F76" s="40" t="n">
        <v>2.99135E-007</v>
      </c>
    </row>
    <row r="77" customFormat="false" ht="14.4" hidden="false" customHeight="false" outlineLevel="0" collapsed="false">
      <c r="A77" s="39" t="n">
        <v>37000</v>
      </c>
      <c r="B77" s="39" t="n">
        <v>389.97</v>
      </c>
      <c r="C77" s="39" t="n">
        <v>452.438</v>
      </c>
      <c r="D77" s="39" t="n">
        <v>0.000675954</v>
      </c>
      <c r="E77" s="39" t="n">
        <v>968.076</v>
      </c>
      <c r="F77" s="40" t="n">
        <v>2.99135E-007</v>
      </c>
    </row>
    <row r="78" customFormat="false" ht="14.4" hidden="false" customHeight="false" outlineLevel="0" collapsed="false">
      <c r="A78" s="39" t="n">
        <v>37500</v>
      </c>
      <c r="B78" s="39" t="n">
        <v>389.97</v>
      </c>
      <c r="C78" s="39" t="n">
        <v>441.695</v>
      </c>
      <c r="D78" s="39" t="n">
        <v>0.000659904</v>
      </c>
      <c r="E78" s="39" t="n">
        <v>968.076</v>
      </c>
      <c r="F78" s="40" t="n">
        <v>2.99135E-007</v>
      </c>
    </row>
    <row r="79" customFormat="false" ht="14.4" hidden="false" customHeight="false" outlineLevel="0" collapsed="false">
      <c r="A79" s="39" t="n">
        <v>38000</v>
      </c>
      <c r="B79" s="39" t="n">
        <v>389.97</v>
      </c>
      <c r="C79" s="39" t="n">
        <v>431.207</v>
      </c>
      <c r="D79" s="39" t="n">
        <v>0.000644234</v>
      </c>
      <c r="E79" s="39" t="n">
        <v>968.076</v>
      </c>
      <c r="F79" s="40" t="n">
        <v>2.99135E-007</v>
      </c>
    </row>
    <row r="80" customFormat="false" ht="14.4" hidden="false" customHeight="false" outlineLevel="0" collapsed="false">
      <c r="A80" s="39" t="n">
        <v>38500</v>
      </c>
      <c r="B80" s="39" t="n">
        <v>389.97</v>
      </c>
      <c r="C80" s="39" t="n">
        <v>420.967</v>
      </c>
      <c r="D80" s="39" t="n">
        <v>0.000628937</v>
      </c>
      <c r="E80" s="39" t="n">
        <v>968.076</v>
      </c>
      <c r="F80" s="40" t="n">
        <v>2.99135E-007</v>
      </c>
    </row>
    <row r="81" customFormat="false" ht="14.4" hidden="false" customHeight="false" outlineLevel="0" collapsed="false">
      <c r="A81" s="39" t="n">
        <v>39000</v>
      </c>
      <c r="B81" s="39" t="n">
        <v>389.97</v>
      </c>
      <c r="C81" s="39" t="n">
        <v>410.972</v>
      </c>
      <c r="D81" s="39" t="n">
        <v>0.000614002</v>
      </c>
      <c r="E81" s="39" t="n">
        <v>968.076</v>
      </c>
      <c r="F81" s="40" t="n">
        <v>2.99135E-007</v>
      </c>
    </row>
    <row r="82" customFormat="false" ht="14.4" hidden="false" customHeight="false" outlineLevel="0" collapsed="false">
      <c r="A82" s="39" t="n">
        <v>39500</v>
      </c>
      <c r="B82" s="39" t="n">
        <v>389.97</v>
      </c>
      <c r="C82" s="39" t="n">
        <v>401.213</v>
      </c>
      <c r="D82" s="39" t="n">
        <v>0.000599423</v>
      </c>
      <c r="E82" s="39" t="n">
        <v>968.076</v>
      </c>
      <c r="F82" s="40" t="n">
        <v>2.99135E-007</v>
      </c>
    </row>
    <row r="83" customFormat="false" ht="14.4" hidden="false" customHeight="false" outlineLevel="0" collapsed="false">
      <c r="A83" s="39" t="n">
        <v>40000</v>
      </c>
      <c r="B83" s="39" t="n">
        <v>389.97</v>
      </c>
      <c r="C83" s="39" t="n">
        <v>391.686</v>
      </c>
      <c r="D83" s="39" t="n">
        <v>0.000585189</v>
      </c>
      <c r="E83" s="39" t="n">
        <v>968.076</v>
      </c>
      <c r="F83" s="40" t="n">
        <v>2.99135E-007</v>
      </c>
    </row>
    <row r="84" customFormat="false" ht="14.4" hidden="false" customHeight="false" outlineLevel="0" collapsed="false">
      <c r="A84" s="39" t="n">
        <v>40500</v>
      </c>
      <c r="B84" s="39" t="n">
        <v>389.97</v>
      </c>
      <c r="C84" s="39" t="n">
        <v>382.385</v>
      </c>
      <c r="D84" s="39" t="n">
        <v>0.000571294</v>
      </c>
      <c r="E84" s="39" t="n">
        <v>968.076</v>
      </c>
      <c r="F84" s="40" t="n">
        <v>2.99135E-007</v>
      </c>
    </row>
    <row r="85" customFormat="false" ht="14.4" hidden="false" customHeight="false" outlineLevel="0" collapsed="false">
      <c r="A85" s="39" t="n">
        <v>41000</v>
      </c>
      <c r="B85" s="39" t="n">
        <v>389.97</v>
      </c>
      <c r="C85" s="39" t="n">
        <v>373.305</v>
      </c>
      <c r="D85" s="39" t="n">
        <v>0.000557728</v>
      </c>
      <c r="E85" s="39" t="n">
        <v>968.076</v>
      </c>
      <c r="F85" s="40" t="n">
        <v>2.99135E-007</v>
      </c>
    </row>
    <row r="86" customFormat="false" ht="14.4" hidden="false" customHeight="false" outlineLevel="0" collapsed="false">
      <c r="A86" s="39" t="n">
        <v>41500</v>
      </c>
      <c r="B86" s="39" t="n">
        <v>389.97</v>
      </c>
      <c r="C86" s="39" t="n">
        <v>364.441</v>
      </c>
      <c r="D86" s="39" t="n">
        <v>0.000544485</v>
      </c>
      <c r="E86" s="39" t="n">
        <v>968.076</v>
      </c>
      <c r="F86" s="40" t="n">
        <v>2.99135E-007</v>
      </c>
    </row>
    <row r="87" customFormat="false" ht="14.4" hidden="false" customHeight="false" outlineLevel="0" collapsed="false">
      <c r="A87" s="39" t="n">
        <v>42000</v>
      </c>
      <c r="B87" s="39" t="n">
        <v>389.97</v>
      </c>
      <c r="C87" s="39" t="n">
        <v>355.787</v>
      </c>
      <c r="D87" s="39" t="n">
        <v>0.000531556</v>
      </c>
      <c r="E87" s="39" t="n">
        <v>968.076</v>
      </c>
      <c r="F87" s="40" t="n">
        <v>2.99135E-007</v>
      </c>
    </row>
    <row r="88" customFormat="false" ht="14.4" hidden="false" customHeight="false" outlineLevel="0" collapsed="false">
      <c r="A88" s="39" t="n">
        <v>42500</v>
      </c>
      <c r="B88" s="39" t="n">
        <v>389.97</v>
      </c>
      <c r="C88" s="39" t="n">
        <v>347.339</v>
      </c>
      <c r="D88" s="39" t="n">
        <v>0.000518934</v>
      </c>
      <c r="E88" s="39" t="n">
        <v>968.076</v>
      </c>
      <c r="F88" s="40" t="n">
        <v>2.99135E-007</v>
      </c>
    </row>
    <row r="89" customFormat="false" ht="14.4" hidden="false" customHeight="false" outlineLevel="0" collapsed="false">
      <c r="A89" s="39" t="n">
        <v>43000</v>
      </c>
      <c r="B89" s="39" t="n">
        <v>389.97</v>
      </c>
      <c r="C89" s="39" t="n">
        <v>339.092</v>
      </c>
      <c r="D89" s="39" t="n">
        <v>0.000506612</v>
      </c>
      <c r="E89" s="39" t="n">
        <v>968.076</v>
      </c>
      <c r="F89" s="40" t="n">
        <v>2.99135E-007</v>
      </c>
    </row>
    <row r="90" customFormat="false" ht="14.4" hidden="false" customHeight="false" outlineLevel="0" collapsed="false">
      <c r="A90" s="39" t="n">
        <v>43500</v>
      </c>
      <c r="B90" s="39" t="n">
        <v>389.97</v>
      </c>
      <c r="C90" s="39" t="n">
        <v>331.04</v>
      </c>
      <c r="D90" s="39" t="n">
        <v>0.000494582</v>
      </c>
      <c r="E90" s="39" t="n">
        <v>968.076</v>
      </c>
      <c r="F90" s="40" t="n">
        <v>2.99135E-007</v>
      </c>
    </row>
    <row r="91" customFormat="false" ht="14.4" hidden="false" customHeight="false" outlineLevel="0" collapsed="false">
      <c r="A91" s="39" t="n">
        <v>44000</v>
      </c>
      <c r="B91" s="39" t="n">
        <v>389.97</v>
      </c>
      <c r="C91" s="39" t="n">
        <v>323.179</v>
      </c>
      <c r="D91" s="39" t="n">
        <v>0.000482838</v>
      </c>
      <c r="E91" s="39" t="n">
        <v>968.076</v>
      </c>
      <c r="F91" s="40" t="n">
        <v>2.99135E-007</v>
      </c>
    </row>
    <row r="92" customFormat="false" ht="14.4" hidden="false" customHeight="false" outlineLevel="0" collapsed="false">
      <c r="A92" s="39" t="n">
        <v>44500</v>
      </c>
      <c r="B92" s="39" t="n">
        <v>389.97</v>
      </c>
      <c r="C92" s="39" t="n">
        <v>315.505</v>
      </c>
      <c r="D92" s="39" t="n">
        <v>0.000471373</v>
      </c>
      <c r="E92" s="39" t="n">
        <v>968.076</v>
      </c>
      <c r="F92" s="40" t="n">
        <v>2.99135E-007</v>
      </c>
    </row>
    <row r="93" customFormat="false" ht="14.4" hidden="false" customHeight="false" outlineLevel="0" collapsed="false">
      <c r="A93" s="39" t="n">
        <v>45000</v>
      </c>
      <c r="B93" s="39" t="n">
        <v>389.97</v>
      </c>
      <c r="C93" s="39" t="n">
        <v>308.013</v>
      </c>
      <c r="D93" s="39" t="n">
        <v>0.00046018</v>
      </c>
      <c r="E93" s="39" t="n">
        <v>968.076</v>
      </c>
      <c r="F93" s="40" t="n">
        <v>2.99135E-007</v>
      </c>
    </row>
    <row r="94" customFormat="false" ht="14.4" hidden="false" customHeight="false" outlineLevel="0" collapsed="false">
      <c r="A94" s="39" t="n">
        <v>45500</v>
      </c>
      <c r="B94" s="39" t="n">
        <v>389.97</v>
      </c>
      <c r="C94" s="39" t="n">
        <v>300.7</v>
      </c>
      <c r="D94" s="39" t="n">
        <v>0.000449253</v>
      </c>
      <c r="E94" s="39" t="n">
        <v>968.076</v>
      </c>
      <c r="F94" s="40" t="n">
        <v>2.99135E-007</v>
      </c>
    </row>
    <row r="95" customFormat="false" ht="14.4" hidden="false" customHeight="false" outlineLevel="0" collapsed="false">
      <c r="A95" s="39" t="n">
        <v>46000</v>
      </c>
      <c r="B95" s="39" t="n">
        <v>389.97</v>
      </c>
      <c r="C95" s="39" t="n">
        <v>293.559</v>
      </c>
      <c r="D95" s="39" t="n">
        <v>0.000438586</v>
      </c>
      <c r="E95" s="39" t="n">
        <v>968.076</v>
      </c>
      <c r="F95" s="40" t="n">
        <v>2.99135E-007</v>
      </c>
    </row>
    <row r="96" customFormat="false" ht="14.4" hidden="false" customHeight="false" outlineLevel="0" collapsed="false">
      <c r="A96" s="39" t="n">
        <v>46500</v>
      </c>
      <c r="B96" s="39" t="n">
        <v>389.97</v>
      </c>
      <c r="C96" s="39" t="n">
        <v>286.589</v>
      </c>
      <c r="D96" s="39" t="n">
        <v>0.000428171</v>
      </c>
      <c r="E96" s="39" t="n">
        <v>968.076</v>
      </c>
      <c r="F96" s="40" t="n">
        <v>2.99135E-007</v>
      </c>
    </row>
    <row r="97" customFormat="false" ht="14.4" hidden="false" customHeight="false" outlineLevel="0" collapsed="false">
      <c r="A97" s="39" t="n">
        <v>47000</v>
      </c>
      <c r="B97" s="39" t="n">
        <v>389.97</v>
      </c>
      <c r="C97" s="39" t="n">
        <v>279.784</v>
      </c>
      <c r="D97" s="39" t="n">
        <v>0.000418004</v>
      </c>
      <c r="E97" s="39" t="n">
        <v>968.076</v>
      </c>
      <c r="F97" s="40" t="n">
        <v>2.99135E-007</v>
      </c>
    </row>
    <row r="98" customFormat="false" ht="14.4" hidden="false" customHeight="false" outlineLevel="0" collapsed="false">
      <c r="A98" s="39" t="n">
        <v>47500</v>
      </c>
      <c r="B98" s="39" t="n">
        <v>389.97</v>
      </c>
      <c r="C98" s="39" t="n">
        <v>273.14</v>
      </c>
      <c r="D98" s="39" t="n">
        <v>0.000408079</v>
      </c>
      <c r="E98" s="39" t="n">
        <v>968.076</v>
      </c>
      <c r="F98" s="40" t="n">
        <v>2.99135E-007</v>
      </c>
    </row>
    <row r="99" customFormat="false" ht="14.4" hidden="false" customHeight="false" outlineLevel="0" collapsed="false">
      <c r="A99" s="39" t="n">
        <v>48000</v>
      </c>
      <c r="B99" s="39" t="n">
        <v>389.97</v>
      </c>
      <c r="C99" s="39" t="n">
        <v>266.654</v>
      </c>
      <c r="D99" s="39" t="n">
        <v>0.000398389</v>
      </c>
      <c r="E99" s="39" t="n">
        <v>968.076</v>
      </c>
      <c r="F99" s="40" t="n">
        <v>2.99135E-007</v>
      </c>
    </row>
    <row r="100" customFormat="false" ht="14.4" hidden="false" customHeight="false" outlineLevel="0" collapsed="false">
      <c r="A100" s="39" t="n">
        <v>48500</v>
      </c>
      <c r="B100" s="39" t="n">
        <v>389.97</v>
      </c>
      <c r="C100" s="39" t="n">
        <v>260.323</v>
      </c>
      <c r="D100" s="39" t="n">
        <v>0.000388929</v>
      </c>
      <c r="E100" s="39" t="n">
        <v>968.076</v>
      </c>
      <c r="F100" s="40" t="n">
        <v>2.99135E-007</v>
      </c>
    </row>
    <row r="101" customFormat="false" ht="14.4" hidden="false" customHeight="false" outlineLevel="0" collapsed="false">
      <c r="A101" s="39" t="n">
        <v>49000</v>
      </c>
      <c r="B101" s="39" t="n">
        <v>389.97</v>
      </c>
      <c r="C101" s="39" t="n">
        <v>254.141</v>
      </c>
      <c r="D101" s="39" t="n">
        <v>0.000379694</v>
      </c>
      <c r="E101" s="39" t="n">
        <v>968.076</v>
      </c>
      <c r="F101" s="40" t="n">
        <v>2.99135E-007</v>
      </c>
    </row>
    <row r="102" customFormat="false" ht="14.4" hidden="false" customHeight="false" outlineLevel="0" collapsed="false">
      <c r="A102" s="39" t="n">
        <v>49500</v>
      </c>
      <c r="B102" s="39" t="n">
        <v>389.97</v>
      </c>
      <c r="C102" s="39" t="n">
        <v>248.106</v>
      </c>
      <c r="D102" s="39" t="n">
        <v>0.000370678</v>
      </c>
      <c r="E102" s="39" t="n">
        <v>968.076</v>
      </c>
      <c r="F102" s="40" t="n">
        <v>2.99135E-007</v>
      </c>
    </row>
    <row r="103" customFormat="false" ht="14.4" hidden="false" customHeight="false" outlineLevel="0" collapsed="false">
      <c r="A103" s="39" t="n">
        <v>50000</v>
      </c>
      <c r="B103" s="39" t="n">
        <v>389.97</v>
      </c>
      <c r="C103" s="39" t="n">
        <v>242.215</v>
      </c>
      <c r="D103" s="39" t="n">
        <v>0.000361876</v>
      </c>
      <c r="E103" s="39" t="n">
        <v>968.076</v>
      </c>
      <c r="F103" s="40" t="n">
        <v>2.99135E-007</v>
      </c>
    </row>
    <row r="104" customFormat="false" ht="14.4" hidden="false" customHeight="false" outlineLevel="0" collapsed="false">
      <c r="A104" s="39" t="n">
        <v>50500</v>
      </c>
      <c r="B104" s="39" t="n">
        <v>389.97</v>
      </c>
      <c r="C104" s="39" t="n">
        <v>236.464</v>
      </c>
      <c r="D104" s="39" t="n">
        <v>0.000353283</v>
      </c>
      <c r="E104" s="39" t="n">
        <v>968.076</v>
      </c>
      <c r="F104" s="40" t="n">
        <v>2.99135E-007</v>
      </c>
    </row>
    <row r="105" customFormat="false" ht="14.4" hidden="false" customHeight="false" outlineLevel="0" collapsed="false">
      <c r="A105" s="39" t="n">
        <v>51000</v>
      </c>
      <c r="B105" s="39" t="n">
        <v>389.97</v>
      </c>
      <c r="C105" s="39" t="n">
        <v>230.849</v>
      </c>
      <c r="D105" s="39" t="n">
        <v>0.000344894</v>
      </c>
      <c r="E105" s="39" t="n">
        <v>968.076</v>
      </c>
      <c r="F105" s="40" t="n">
        <v>2.99135E-007</v>
      </c>
    </row>
    <row r="106" customFormat="false" ht="14.4" hidden="false" customHeight="false" outlineLevel="0" collapsed="false">
      <c r="A106" s="39" t="n">
        <v>51500</v>
      </c>
      <c r="B106" s="39" t="n">
        <v>389.97</v>
      </c>
      <c r="C106" s="39" t="n">
        <v>225.367</v>
      </c>
      <c r="D106" s="39" t="n">
        <v>0.000336705</v>
      </c>
      <c r="E106" s="39" t="n">
        <v>968.076</v>
      </c>
      <c r="F106" s="40" t="n">
        <v>2.99135E-007</v>
      </c>
    </row>
    <row r="107" customFormat="false" ht="14.4" hidden="false" customHeight="false" outlineLevel="0" collapsed="false">
      <c r="A107" s="39" t="n">
        <v>52000</v>
      </c>
      <c r="B107" s="39" t="n">
        <v>389.97</v>
      </c>
      <c r="C107" s="39" t="n">
        <v>220.016</v>
      </c>
      <c r="D107" s="39" t="n">
        <v>0.000328709</v>
      </c>
      <c r="E107" s="39" t="n">
        <v>968.076</v>
      </c>
      <c r="F107" s="40" t="n">
        <v>2.99135E-007</v>
      </c>
    </row>
    <row r="108" customFormat="false" ht="14.4" hidden="false" customHeight="false" outlineLevel="0" collapsed="false">
      <c r="A108" s="39" t="n">
        <v>52500</v>
      </c>
      <c r="B108" s="39" t="n">
        <v>389.97</v>
      </c>
      <c r="C108" s="39" t="n">
        <v>214.791</v>
      </c>
      <c r="D108" s="39" t="n">
        <v>0.000320904</v>
      </c>
      <c r="E108" s="39" t="n">
        <v>968.076</v>
      </c>
      <c r="F108" s="40" t="n">
        <v>2.99135E-007</v>
      </c>
    </row>
    <row r="109" customFormat="false" ht="14.4" hidden="false" customHeight="false" outlineLevel="0" collapsed="false">
      <c r="A109" s="39" t="n">
        <v>53000</v>
      </c>
      <c r="B109" s="39" t="n">
        <v>389.97</v>
      </c>
      <c r="C109" s="39" t="n">
        <v>209.691</v>
      </c>
      <c r="D109" s="39" t="n">
        <v>0.000313284</v>
      </c>
      <c r="E109" s="39" t="n">
        <v>968.076</v>
      </c>
      <c r="F109" s="40" t="n">
        <v>2.99135E-007</v>
      </c>
    </row>
    <row r="110" customFormat="false" ht="14.4" hidden="false" customHeight="false" outlineLevel="0" collapsed="false">
      <c r="A110" s="39" t="n">
        <v>53500</v>
      </c>
      <c r="B110" s="39" t="n">
        <v>389.97</v>
      </c>
      <c r="C110" s="39" t="n">
        <v>204.712</v>
      </c>
      <c r="D110" s="39" t="n">
        <v>0.000305845</v>
      </c>
      <c r="E110" s="39" t="n">
        <v>968.076</v>
      </c>
      <c r="F110" s="40" t="n">
        <v>2.99135E-007</v>
      </c>
    </row>
    <row r="111" customFormat="false" ht="14.4" hidden="false" customHeight="false" outlineLevel="0" collapsed="false">
      <c r="A111" s="39" t="n">
        <v>54000</v>
      </c>
      <c r="B111" s="39" t="n">
        <v>389.97</v>
      </c>
      <c r="C111" s="39" t="n">
        <v>199.851</v>
      </c>
      <c r="D111" s="39" t="n">
        <v>0.000298583</v>
      </c>
      <c r="E111" s="39" t="n">
        <v>968.076</v>
      </c>
      <c r="F111" s="40" t="n">
        <v>2.99135E-007</v>
      </c>
    </row>
    <row r="112" customFormat="false" ht="14.4" hidden="false" customHeight="false" outlineLevel="0" collapsed="false">
      <c r="A112" s="39" t="n">
        <v>54500</v>
      </c>
      <c r="B112" s="39" t="n">
        <v>389.97</v>
      </c>
      <c r="C112" s="39" t="n">
        <v>195.106</v>
      </c>
      <c r="D112" s="39" t="n">
        <v>0.000291493</v>
      </c>
      <c r="E112" s="39" t="n">
        <v>968.076</v>
      </c>
      <c r="F112" s="40" t="n">
        <v>2.99135E-007</v>
      </c>
    </row>
    <row r="113" customFormat="false" ht="14.4" hidden="false" customHeight="false" outlineLevel="0" collapsed="false">
      <c r="A113" s="39" t="n">
        <v>55000</v>
      </c>
      <c r="B113" s="39" t="n">
        <v>389.97</v>
      </c>
      <c r="C113" s="39" t="n">
        <v>190.473</v>
      </c>
      <c r="D113" s="39" t="n">
        <v>0.000284571</v>
      </c>
      <c r="E113" s="39" t="n">
        <v>968.076</v>
      </c>
      <c r="F113" s="40" t="n">
        <v>2.99135E-007</v>
      </c>
    </row>
    <row r="114" customFormat="false" ht="14.4" hidden="false" customHeight="false" outlineLevel="0" collapsed="false">
      <c r="A114" s="39" t="n">
        <v>55500</v>
      </c>
      <c r="B114" s="39" t="n">
        <v>389.97</v>
      </c>
      <c r="C114" s="39" t="n">
        <v>185.95</v>
      </c>
      <c r="D114" s="39" t="n">
        <v>0.000277814</v>
      </c>
      <c r="E114" s="39" t="n">
        <v>968.076</v>
      </c>
      <c r="F114" s="40" t="n">
        <v>2.99135E-007</v>
      </c>
    </row>
    <row r="115" customFormat="false" ht="14.4" hidden="false" customHeight="false" outlineLevel="0" collapsed="false">
      <c r="A115" s="39" t="n">
        <v>56000</v>
      </c>
      <c r="B115" s="39" t="n">
        <v>389.97</v>
      </c>
      <c r="C115" s="39" t="n">
        <v>181.534</v>
      </c>
      <c r="D115" s="39" t="n">
        <v>0.000271217</v>
      </c>
      <c r="E115" s="39" t="n">
        <v>968.076</v>
      </c>
      <c r="F115" s="40" t="n">
        <v>2.99135E-007</v>
      </c>
    </row>
    <row r="116" customFormat="false" ht="14.4" hidden="false" customHeight="false" outlineLevel="0" collapsed="false">
      <c r="A116" s="39" t="n">
        <v>56500</v>
      </c>
      <c r="B116" s="39" t="n">
        <v>389.97</v>
      </c>
      <c r="C116" s="39" t="n">
        <v>177.224</v>
      </c>
      <c r="D116" s="39" t="n">
        <v>0.000264777</v>
      </c>
      <c r="E116" s="39" t="n">
        <v>968.076</v>
      </c>
      <c r="F116" s="40" t="n">
        <v>2.99135E-007</v>
      </c>
    </row>
    <row r="117" customFormat="false" ht="14.4" hidden="false" customHeight="false" outlineLevel="0" collapsed="false">
      <c r="A117" s="39" t="n">
        <v>57000</v>
      </c>
      <c r="B117" s="39" t="n">
        <v>389.97</v>
      </c>
      <c r="C117" s="39" t="n">
        <v>173.016</v>
      </c>
      <c r="D117" s="39" t="n">
        <v>0.00025849</v>
      </c>
      <c r="E117" s="39" t="n">
        <v>968.076</v>
      </c>
      <c r="F117" s="40" t="n">
        <v>2.99135E-007</v>
      </c>
    </row>
    <row r="118" customFormat="false" ht="14.4" hidden="false" customHeight="false" outlineLevel="0" collapsed="false">
      <c r="A118" s="39" t="n">
        <v>57500</v>
      </c>
      <c r="B118" s="39" t="n">
        <v>389.97</v>
      </c>
      <c r="C118" s="39" t="n">
        <v>168.907</v>
      </c>
      <c r="D118" s="39" t="n">
        <v>0.000252352</v>
      </c>
      <c r="E118" s="39" t="n">
        <v>968.076</v>
      </c>
      <c r="F118" s="40" t="n">
        <v>2.99135E-007</v>
      </c>
    </row>
    <row r="119" customFormat="false" ht="14.4" hidden="false" customHeight="false" outlineLevel="0" collapsed="false">
      <c r="A119" s="39" t="n">
        <v>58000</v>
      </c>
      <c r="B119" s="39" t="n">
        <v>389.97</v>
      </c>
      <c r="C119" s="39" t="n">
        <v>164.897</v>
      </c>
      <c r="D119" s="39" t="n">
        <v>0.00024636</v>
      </c>
      <c r="E119" s="39" t="n">
        <v>968.076</v>
      </c>
      <c r="F119" s="40" t="n">
        <v>2.99135E-007</v>
      </c>
    </row>
    <row r="120" customFormat="false" ht="14.4" hidden="false" customHeight="false" outlineLevel="0" collapsed="false">
      <c r="A120" s="39" t="n">
        <v>58500</v>
      </c>
      <c r="B120" s="39" t="n">
        <v>389.97</v>
      </c>
      <c r="C120" s="39" t="n">
        <v>160.981</v>
      </c>
      <c r="D120" s="39" t="n">
        <v>0.00024051</v>
      </c>
      <c r="E120" s="39" t="n">
        <v>968.076</v>
      </c>
      <c r="F120" s="40" t="n">
        <v>2.99135E-007</v>
      </c>
    </row>
    <row r="121" customFormat="false" ht="14.4" hidden="false" customHeight="false" outlineLevel="0" collapsed="false">
      <c r="A121" s="39" t="n">
        <v>59000</v>
      </c>
      <c r="B121" s="39" t="n">
        <v>389.97</v>
      </c>
      <c r="C121" s="39" t="n">
        <v>157.159</v>
      </c>
      <c r="D121" s="39" t="n">
        <v>0.000234799</v>
      </c>
      <c r="E121" s="39" t="n">
        <v>968.076</v>
      </c>
      <c r="F121" s="40" t="n">
        <v>2.99135E-007</v>
      </c>
    </row>
    <row r="122" customFormat="false" ht="14.4" hidden="false" customHeight="false" outlineLevel="0" collapsed="false">
      <c r="A122" s="39" t="n">
        <v>59500</v>
      </c>
      <c r="B122" s="39" t="n">
        <v>389.97</v>
      </c>
      <c r="C122" s="39" t="n">
        <v>153.427</v>
      </c>
      <c r="D122" s="39" t="n">
        <v>0.000229224</v>
      </c>
      <c r="E122" s="39" t="n">
        <v>968.076</v>
      </c>
      <c r="F122" s="40" t="n">
        <v>2.99135E-007</v>
      </c>
    </row>
    <row r="123" customFormat="false" ht="14.4" hidden="false" customHeight="false" outlineLevel="0" collapsed="false">
      <c r="A123" s="39" t="n">
        <v>60000</v>
      </c>
      <c r="B123" s="39" t="n">
        <v>389.97</v>
      </c>
      <c r="C123" s="39" t="n">
        <v>149.784</v>
      </c>
      <c r="D123" s="39" t="n">
        <v>0.000223781</v>
      </c>
      <c r="E123" s="39" t="n">
        <v>968.076</v>
      </c>
      <c r="F123" s="40" t="n">
        <v>2.99135E-007</v>
      </c>
    </row>
    <row r="124" customFormat="false" ht="14.4" hidden="false" customHeight="false" outlineLevel="0" collapsed="false">
      <c r="A124" s="39" t="n">
        <v>60500</v>
      </c>
      <c r="B124" s="39" t="n">
        <v>389.97</v>
      </c>
      <c r="C124" s="39" t="n">
        <v>146.227</v>
      </c>
      <c r="D124" s="39" t="n">
        <v>0.000218467</v>
      </c>
      <c r="E124" s="39" t="n">
        <v>968.076</v>
      </c>
      <c r="F124" s="40" t="n">
        <v>2.99135E-007</v>
      </c>
    </row>
    <row r="125" customFormat="false" ht="14.4" hidden="false" customHeight="false" outlineLevel="0" collapsed="false">
      <c r="A125" s="39" t="n">
        <v>61000</v>
      </c>
      <c r="B125" s="39" t="n">
        <v>389.97</v>
      </c>
      <c r="C125" s="39" t="n">
        <v>142.755</v>
      </c>
      <c r="D125" s="39" t="n">
        <v>0.000213279</v>
      </c>
      <c r="E125" s="39" t="n">
        <v>968.076</v>
      </c>
      <c r="F125" s="40" t="n">
        <v>2.99135E-007</v>
      </c>
    </row>
    <row r="126" customFormat="false" ht="14.4" hidden="false" customHeight="false" outlineLevel="0" collapsed="false">
      <c r="A126" s="39" t="n">
        <v>61500</v>
      </c>
      <c r="B126" s="39" t="n">
        <v>389.97</v>
      </c>
      <c r="C126" s="39" t="n">
        <v>139.365</v>
      </c>
      <c r="D126" s="39" t="n">
        <v>0.000208215</v>
      </c>
      <c r="E126" s="39" t="n">
        <v>968.076</v>
      </c>
      <c r="F126" s="40" t="n">
        <v>2.99135E-007</v>
      </c>
    </row>
    <row r="127" customFormat="false" ht="14.4" hidden="false" customHeight="false" outlineLevel="0" collapsed="false">
      <c r="A127" s="39" t="n">
        <v>62000</v>
      </c>
      <c r="B127" s="39" t="n">
        <v>389.97</v>
      </c>
      <c r="C127" s="39" t="n">
        <v>136.056</v>
      </c>
      <c r="D127" s="39" t="n">
        <v>0.000203271</v>
      </c>
      <c r="E127" s="39" t="n">
        <v>968.076</v>
      </c>
      <c r="F127" s="40" t="n">
        <v>2.99135E-007</v>
      </c>
    </row>
    <row r="128" customFormat="false" ht="14.4" hidden="false" customHeight="false" outlineLevel="0" collapsed="false">
      <c r="A128" s="39" t="n">
        <v>62500</v>
      </c>
      <c r="B128" s="39" t="n">
        <v>389.97</v>
      </c>
      <c r="C128" s="39" t="n">
        <v>132.825</v>
      </c>
      <c r="D128" s="39" t="n">
        <v>0.000198444</v>
      </c>
      <c r="E128" s="39" t="n">
        <v>968.076</v>
      </c>
      <c r="F128" s="40" t="n">
        <v>2.99135E-007</v>
      </c>
    </row>
    <row r="129" customFormat="false" ht="14.4" hidden="false" customHeight="false" outlineLevel="0" collapsed="false">
      <c r="A129" s="39" t="n">
        <v>63000</v>
      </c>
      <c r="B129" s="39" t="n">
        <v>389.97</v>
      </c>
      <c r="C129" s="39" t="n">
        <v>129.671</v>
      </c>
      <c r="D129" s="39" t="n">
        <v>0.000193732</v>
      </c>
      <c r="E129" s="39" t="n">
        <v>968.076</v>
      </c>
      <c r="F129" s="40" t="n">
        <v>2.99135E-007</v>
      </c>
    </row>
    <row r="130" customFormat="false" ht="14.4" hidden="false" customHeight="false" outlineLevel="0" collapsed="false">
      <c r="A130" s="39" t="n">
        <v>63500</v>
      </c>
      <c r="B130" s="39" t="n">
        <v>389.97</v>
      </c>
      <c r="C130" s="39" t="n">
        <v>126.592</v>
      </c>
      <c r="D130" s="39" t="n">
        <v>0.000189132</v>
      </c>
      <c r="E130" s="39" t="n">
        <v>968.076</v>
      </c>
      <c r="F130" s="40" t="n">
        <v>2.99135E-007</v>
      </c>
    </row>
    <row r="131" customFormat="false" ht="14.4" hidden="false" customHeight="false" outlineLevel="0" collapsed="false">
      <c r="A131" s="39" t="n">
        <v>64000</v>
      </c>
      <c r="B131" s="39" t="n">
        <v>389.97</v>
      </c>
      <c r="C131" s="39" t="n">
        <v>123.586</v>
      </c>
      <c r="D131" s="39" t="n">
        <v>0.000184641</v>
      </c>
      <c r="E131" s="39" t="n">
        <v>968.076</v>
      </c>
      <c r="F131" s="40" t="n">
        <v>2.99135E-007</v>
      </c>
    </row>
    <row r="132" customFormat="false" ht="14.4" hidden="false" customHeight="false" outlineLevel="0" collapsed="false">
      <c r="A132" s="39" t="n">
        <v>64500</v>
      </c>
      <c r="B132" s="39" t="n">
        <v>389.97</v>
      </c>
      <c r="C132" s="39" t="n">
        <v>120.652</v>
      </c>
      <c r="D132" s="39" t="n">
        <v>0.000180257</v>
      </c>
      <c r="E132" s="39" t="n">
        <v>968.076</v>
      </c>
      <c r="F132" s="40" t="n">
        <v>2.99135E-007</v>
      </c>
    </row>
    <row r="133" customFormat="false" ht="14.4" hidden="false" customHeight="false" outlineLevel="0" collapsed="false">
      <c r="A133" s="39" t="n">
        <v>65000</v>
      </c>
      <c r="B133" s="39" t="n">
        <v>389.97</v>
      </c>
      <c r="C133" s="39" t="n">
        <v>117.787</v>
      </c>
      <c r="D133" s="39" t="n">
        <v>0.000175976</v>
      </c>
      <c r="E133" s="39" t="n">
        <v>968.076</v>
      </c>
      <c r="F133" s="40" t="n">
        <v>2.99135E-007</v>
      </c>
    </row>
    <row r="134" customFormat="false" ht="14.4" hidden="false" customHeight="false" outlineLevel="0" collapsed="false">
      <c r="A134" s="39" t="n">
        <v>65500</v>
      </c>
      <c r="B134" s="39" t="n">
        <v>389.97</v>
      </c>
      <c r="C134" s="39" t="n">
        <v>114.99</v>
      </c>
      <c r="D134" s="39" t="n">
        <v>0.000171798</v>
      </c>
      <c r="E134" s="39" t="n">
        <v>968.076</v>
      </c>
      <c r="F134" s="40" t="n">
        <v>2.99135E-007</v>
      </c>
    </row>
    <row r="135" customFormat="false" ht="14.4" hidden="false" customHeight="false" outlineLevel="0" collapsed="false">
      <c r="A135" s="39" t="n">
        <v>66000</v>
      </c>
      <c r="B135" s="39" t="n">
        <v>390.18</v>
      </c>
      <c r="C135" s="39" t="n">
        <v>112.26</v>
      </c>
      <c r="D135" s="39" t="n">
        <v>0.000167629</v>
      </c>
      <c r="E135" s="39" t="n">
        <v>968.337</v>
      </c>
      <c r="F135" s="40" t="n">
        <v>2.99273E-007</v>
      </c>
    </row>
    <row r="136" customFormat="false" ht="14.4" hidden="false" customHeight="false" outlineLevel="0" collapsed="false">
      <c r="A136" s="39" t="n">
        <v>66500</v>
      </c>
      <c r="B136" s="39" t="n">
        <v>390.455</v>
      </c>
      <c r="C136" s="39" t="n">
        <v>109.597</v>
      </c>
      <c r="D136" s="39" t="n">
        <v>0.000163537</v>
      </c>
      <c r="E136" s="39" t="n">
        <v>968.677</v>
      </c>
      <c r="F136" s="40" t="n">
        <v>2.99453E-007</v>
      </c>
    </row>
    <row r="137" customFormat="false" ht="14.4" hidden="false" customHeight="false" outlineLevel="0" collapsed="false">
      <c r="A137" s="39" t="n">
        <v>67000</v>
      </c>
      <c r="B137" s="39" t="n">
        <v>390.729</v>
      </c>
      <c r="C137" s="39" t="n">
        <v>106.998</v>
      </c>
      <c r="D137" s="39" t="n">
        <v>0.000159548</v>
      </c>
      <c r="E137" s="39" t="n">
        <v>969.017</v>
      </c>
      <c r="F137" s="40" t="n">
        <v>2.99633E-007</v>
      </c>
    </row>
    <row r="138" customFormat="false" ht="14.4" hidden="false" customHeight="false" outlineLevel="0" collapsed="false">
      <c r="A138" s="39" t="n">
        <v>67500</v>
      </c>
      <c r="B138" s="39" t="n">
        <v>391.003</v>
      </c>
      <c r="C138" s="39" t="n">
        <v>104.463</v>
      </c>
      <c r="D138" s="39" t="n">
        <v>0.000155659</v>
      </c>
      <c r="E138" s="39" t="n">
        <v>969.358</v>
      </c>
      <c r="F138" s="40" t="n">
        <v>2.99813E-007</v>
      </c>
    </row>
    <row r="139" customFormat="false" ht="14.4" hidden="false" customHeight="false" outlineLevel="0" collapsed="false">
      <c r="A139" s="39" t="n">
        <v>68000</v>
      </c>
      <c r="B139" s="39" t="n">
        <v>391.278</v>
      </c>
      <c r="C139" s="39" t="n">
        <v>101.99</v>
      </c>
      <c r="D139" s="39" t="n">
        <v>0.000151867</v>
      </c>
      <c r="E139" s="39" t="n">
        <v>969.698</v>
      </c>
      <c r="F139" s="40" t="n">
        <v>2.99993E-007</v>
      </c>
    </row>
    <row r="140" customFormat="false" ht="14.4" hidden="false" customHeight="false" outlineLevel="0" collapsed="false">
      <c r="A140" s="39" t="n">
        <v>68500</v>
      </c>
      <c r="B140" s="39" t="n">
        <v>391.552</v>
      </c>
      <c r="C140" s="39" t="n">
        <v>99.5772</v>
      </c>
      <c r="D140" s="39" t="n">
        <v>0.00014817</v>
      </c>
      <c r="E140" s="39" t="n">
        <v>970.037</v>
      </c>
      <c r="F140" s="40" t="n">
        <v>3.00173E-007</v>
      </c>
    </row>
    <row r="141" customFormat="false" ht="14.4" hidden="false" customHeight="false" outlineLevel="0" collapsed="false">
      <c r="A141" s="39" t="n">
        <v>69000</v>
      </c>
      <c r="B141" s="39" t="n">
        <v>391.826</v>
      </c>
      <c r="C141" s="39" t="n">
        <v>97.223</v>
      </c>
      <c r="D141" s="39" t="n">
        <v>0.000144566</v>
      </c>
      <c r="E141" s="39" t="n">
        <v>970.377</v>
      </c>
      <c r="F141" s="40" t="n">
        <v>3.00353E-007</v>
      </c>
    </row>
    <row r="142" customFormat="false" ht="14.4" hidden="false" customHeight="false" outlineLevel="0" collapsed="false">
      <c r="A142" s="39" t="n">
        <v>69500</v>
      </c>
      <c r="B142" s="39" t="n">
        <v>392.1</v>
      </c>
      <c r="C142" s="39" t="n">
        <v>94.926</v>
      </c>
      <c r="D142" s="39" t="n">
        <v>0.000141051</v>
      </c>
      <c r="E142" s="39" t="n">
        <v>970.717</v>
      </c>
      <c r="F142" s="40" t="n">
        <v>3.00533E-007</v>
      </c>
    </row>
    <row r="143" customFormat="false" ht="14.4" hidden="false" customHeight="false" outlineLevel="0" collapsed="false">
      <c r="A143" s="39" t="n">
        <v>70000</v>
      </c>
      <c r="B143" s="39" t="n">
        <v>392.375</v>
      </c>
      <c r="C143" s="39" t="n">
        <v>92.6848</v>
      </c>
      <c r="D143" s="39" t="n">
        <v>0.000137625</v>
      </c>
      <c r="E143" s="39" t="n">
        <v>971.056</v>
      </c>
      <c r="F143" s="40" t="n">
        <v>3.00712E-007</v>
      </c>
    </row>
    <row r="144" customFormat="false" ht="14.4" hidden="false" customHeight="false" outlineLevel="0" collapsed="false">
      <c r="A144" s="39" t="n">
        <v>70500</v>
      </c>
      <c r="B144" s="39" t="n">
        <v>392.649</v>
      </c>
      <c r="C144" s="39" t="n">
        <v>90.4981</v>
      </c>
      <c r="D144" s="39" t="n">
        <v>0.000134284</v>
      </c>
      <c r="E144" s="39" t="n">
        <v>971.396</v>
      </c>
      <c r="F144" s="40" t="n">
        <v>3.00892E-007</v>
      </c>
    </row>
    <row r="145" customFormat="false" ht="14.4" hidden="false" customHeight="false" outlineLevel="0" collapsed="false">
      <c r="A145" s="39" t="n">
        <v>71000</v>
      </c>
      <c r="B145" s="39" t="n">
        <v>392.923</v>
      </c>
      <c r="C145" s="39" t="n">
        <v>88.3644</v>
      </c>
      <c r="D145" s="39" t="n">
        <v>0.000131026</v>
      </c>
      <c r="E145" s="39" t="n">
        <v>971.735</v>
      </c>
      <c r="F145" s="40" t="n">
        <v>3.01072E-007</v>
      </c>
    </row>
    <row r="146" customFormat="false" ht="14.4" hidden="false" customHeight="false" outlineLevel="0" collapsed="false">
      <c r="A146" s="39" t="n">
        <v>71500</v>
      </c>
      <c r="B146" s="39" t="n">
        <v>393.198</v>
      </c>
      <c r="C146" s="39" t="n">
        <v>86.2825</v>
      </c>
      <c r="D146" s="39" t="n">
        <v>0.00012785</v>
      </c>
      <c r="E146" s="39" t="n">
        <v>972.074</v>
      </c>
      <c r="F146" s="40" t="n">
        <v>3.01251E-007</v>
      </c>
    </row>
    <row r="147" customFormat="false" ht="14.4" hidden="false" customHeight="false" outlineLevel="0" collapsed="false">
      <c r="A147" s="39" t="n">
        <v>72000</v>
      </c>
      <c r="B147" s="39" t="n">
        <v>393.472</v>
      </c>
      <c r="C147" s="39" t="n">
        <v>84.251</v>
      </c>
      <c r="D147" s="39" t="n">
        <v>0.000124753</v>
      </c>
      <c r="E147" s="39" t="n">
        <v>972.413</v>
      </c>
      <c r="F147" s="40" t="n">
        <v>3.01431E-007</v>
      </c>
    </row>
    <row r="148" customFormat="false" ht="14.4" hidden="false" customHeight="false" outlineLevel="0" collapsed="false">
      <c r="A148" s="39" t="n">
        <v>72500</v>
      </c>
      <c r="B148" s="39" t="n">
        <v>393.746</v>
      </c>
      <c r="C148" s="39" t="n">
        <v>82.2687</v>
      </c>
      <c r="D148" s="39" t="n">
        <v>0.000121733</v>
      </c>
      <c r="E148" s="39" t="n">
        <v>972.752</v>
      </c>
      <c r="F148" s="40" t="n">
        <v>3.01611E-007</v>
      </c>
    </row>
    <row r="149" customFormat="false" ht="14.4" hidden="false" customHeight="false" outlineLevel="0" collapsed="false">
      <c r="A149" s="39" t="n">
        <v>73000</v>
      </c>
      <c r="B149" s="39" t="n">
        <v>394.021</v>
      </c>
      <c r="C149" s="39" t="n">
        <v>80.3344</v>
      </c>
      <c r="D149" s="39" t="n">
        <v>0.000118788</v>
      </c>
      <c r="E149" s="39" t="n">
        <v>973.091</v>
      </c>
      <c r="F149" s="40" t="n">
        <v>3.0179E-007</v>
      </c>
    </row>
    <row r="150" customFormat="false" ht="14.4" hidden="false" customHeight="false" outlineLevel="0" collapsed="false">
      <c r="A150" s="39" t="n">
        <v>73500</v>
      </c>
      <c r="B150" s="39" t="n">
        <v>394.295</v>
      </c>
      <c r="C150" s="39" t="n">
        <v>78.4468</v>
      </c>
      <c r="D150" s="39" t="n">
        <v>0.000115916</v>
      </c>
      <c r="E150" s="39" t="n">
        <v>973.43</v>
      </c>
      <c r="F150" s="40" t="n">
        <v>3.01969E-007</v>
      </c>
    </row>
    <row r="151" customFormat="false" ht="14.4" hidden="false" customHeight="false" outlineLevel="0" collapsed="false">
      <c r="A151" s="39" t="n">
        <v>74000</v>
      </c>
      <c r="B151" s="39" t="n">
        <v>394.569</v>
      </c>
      <c r="C151" s="39" t="n">
        <v>76.6049</v>
      </c>
      <c r="D151" s="39" t="n">
        <v>0.000113116</v>
      </c>
      <c r="E151" s="39" t="n">
        <v>973.768</v>
      </c>
      <c r="F151" s="40" t="n">
        <v>3.02149E-007</v>
      </c>
    </row>
    <row r="152" customFormat="false" ht="14.4" hidden="false" customHeight="false" outlineLevel="0" collapsed="false">
      <c r="A152" s="39" t="n">
        <v>74500</v>
      </c>
      <c r="B152" s="39" t="n">
        <v>394.844</v>
      </c>
      <c r="C152" s="39" t="n">
        <v>74.8075</v>
      </c>
      <c r="D152" s="39" t="n">
        <v>0.000110385</v>
      </c>
      <c r="E152" s="39" t="n">
        <v>974.107</v>
      </c>
      <c r="F152" s="40" t="n">
        <v>3.02328E-007</v>
      </c>
    </row>
    <row r="153" customFormat="false" ht="14.4" hidden="false" customHeight="false" outlineLevel="0" collapsed="false">
      <c r="A153" s="39" t="n">
        <v>75000</v>
      </c>
      <c r="B153" s="39" t="n">
        <v>395.118</v>
      </c>
      <c r="C153" s="39" t="n">
        <v>73.0534</v>
      </c>
      <c r="D153" s="39" t="n">
        <v>0.000107722</v>
      </c>
      <c r="E153" s="39" t="n">
        <v>974.445</v>
      </c>
      <c r="F153" s="40" t="n">
        <v>3.02507E-007</v>
      </c>
    </row>
    <row r="154" customFormat="false" ht="14.4" hidden="false" customHeight="false" outlineLevel="0" collapsed="false">
      <c r="A154" s="39" t="n">
        <v>75500</v>
      </c>
      <c r="B154" s="39" t="n">
        <v>395.392</v>
      </c>
      <c r="C154" s="39" t="n">
        <v>71.3417</v>
      </c>
      <c r="D154" s="39" t="n">
        <v>0.000105125</v>
      </c>
      <c r="E154" s="39" t="n">
        <v>974.783</v>
      </c>
      <c r="F154" s="40" t="n">
        <v>3.02687E-007</v>
      </c>
    </row>
    <row r="155" customFormat="false" ht="14.4" hidden="false" customHeight="false" outlineLevel="0" collapsed="false">
      <c r="A155" s="39" t="n">
        <v>76000</v>
      </c>
      <c r="B155" s="39" t="n">
        <v>395.667</v>
      </c>
      <c r="C155" s="39" t="n">
        <v>69.6712</v>
      </c>
      <c r="D155" s="39" t="n">
        <v>0.000102592</v>
      </c>
      <c r="E155" s="39" t="n">
        <v>975.121</v>
      </c>
      <c r="F155" s="40" t="n">
        <v>3.02866E-007</v>
      </c>
    </row>
    <row r="156" customFormat="false" ht="14.4" hidden="false" customHeight="false" outlineLevel="0" collapsed="false">
      <c r="A156" s="39" t="n">
        <v>76500</v>
      </c>
      <c r="B156" s="39" t="n">
        <v>395.941</v>
      </c>
      <c r="C156" s="39" t="n">
        <v>68.0409</v>
      </c>
      <c r="D156" s="39" t="n">
        <v>0.000100122</v>
      </c>
      <c r="E156" s="39" t="n">
        <v>975.459</v>
      </c>
      <c r="F156" s="40" t="n">
        <v>3.03045E-007</v>
      </c>
    </row>
    <row r="157" customFormat="false" ht="14.4" hidden="false" customHeight="false" outlineLevel="0" collapsed="false">
      <c r="A157" s="39" t="n">
        <v>77000</v>
      </c>
      <c r="B157" s="39" t="n">
        <v>396.215</v>
      </c>
      <c r="C157" s="39" t="n">
        <v>66.4499</v>
      </c>
      <c r="D157" s="39" t="n">
        <v>9.77131E-005</v>
      </c>
      <c r="E157" s="39" t="n">
        <v>975.797</v>
      </c>
      <c r="F157" s="40" t="n">
        <v>3.03224E-007</v>
      </c>
    </row>
    <row r="158" customFormat="false" ht="14.4" hidden="false" customHeight="false" outlineLevel="0" collapsed="false">
      <c r="A158" s="39" t="n">
        <v>77500</v>
      </c>
      <c r="B158" s="39" t="n">
        <v>396.49</v>
      </c>
      <c r="C158" s="39" t="n">
        <v>64.8971</v>
      </c>
      <c r="D158" s="39" t="n">
        <v>9.53638E-005</v>
      </c>
      <c r="E158" s="39" t="n">
        <v>976.135</v>
      </c>
      <c r="F158" s="40" t="n">
        <v>3.03403E-007</v>
      </c>
    </row>
    <row r="159" customFormat="false" ht="14.4" hidden="false" customHeight="false" outlineLevel="0" collapsed="false">
      <c r="A159" s="39" t="n">
        <v>78000</v>
      </c>
      <c r="B159" s="39" t="n">
        <v>396.764</v>
      </c>
      <c r="C159" s="39" t="n">
        <v>63.3817</v>
      </c>
      <c r="D159" s="39" t="n">
        <v>9.30725E-005</v>
      </c>
      <c r="E159" s="39" t="n">
        <v>976.472</v>
      </c>
      <c r="F159" s="40" t="n">
        <v>3.03582E-007</v>
      </c>
    </row>
    <row r="160" customFormat="false" ht="14.4" hidden="false" customHeight="false" outlineLevel="0" collapsed="false">
      <c r="A160" s="39" t="n">
        <v>78500</v>
      </c>
      <c r="B160" s="39" t="n">
        <v>397.038</v>
      </c>
      <c r="C160" s="39" t="n">
        <v>61.9027</v>
      </c>
      <c r="D160" s="39" t="n">
        <v>9.08378E-005</v>
      </c>
      <c r="E160" s="39" t="n">
        <v>976.81</v>
      </c>
      <c r="F160" s="40" t="n">
        <v>3.03761E-007</v>
      </c>
    </row>
    <row r="161" customFormat="false" ht="14.4" hidden="false" customHeight="false" outlineLevel="0" collapsed="false">
      <c r="A161" s="39" t="n">
        <v>79000</v>
      </c>
      <c r="B161" s="39" t="n">
        <v>397.313</v>
      </c>
      <c r="C161" s="39" t="n">
        <v>60.4591</v>
      </c>
      <c r="D161" s="39" t="n">
        <v>8.86582E-005</v>
      </c>
      <c r="E161" s="39" t="n">
        <v>977.147</v>
      </c>
      <c r="F161" s="40" t="n">
        <v>3.0394E-007</v>
      </c>
    </row>
    <row r="162" customFormat="false" ht="14.4" hidden="false" customHeight="false" outlineLevel="0" collapsed="false">
      <c r="A162" s="39" t="n">
        <v>79500</v>
      </c>
      <c r="B162" s="39" t="n">
        <v>397.587</v>
      </c>
      <c r="C162" s="39" t="n">
        <v>59.0502</v>
      </c>
      <c r="D162" s="39" t="n">
        <v>8.65324E-005</v>
      </c>
      <c r="E162" s="39" t="n">
        <v>977.484</v>
      </c>
      <c r="F162" s="40" t="n">
        <v>3.04119E-007</v>
      </c>
    </row>
    <row r="163" customFormat="false" ht="14.4" hidden="false" customHeight="false" outlineLevel="0" collapsed="false">
      <c r="A163" s="39" t="n">
        <v>80000</v>
      </c>
      <c r="B163" s="39" t="n">
        <v>397.861</v>
      </c>
      <c r="C163" s="39" t="n">
        <v>57.6751</v>
      </c>
      <c r="D163" s="39" t="n">
        <v>8.4459E-005</v>
      </c>
      <c r="E163" s="39" t="n">
        <v>977.822</v>
      </c>
      <c r="F163" s="40" t="n">
        <v>3.04297E-007</v>
      </c>
    </row>
    <row r="164" customFormat="false" ht="14.4" hidden="false" customHeight="false" outlineLevel="0" collapsed="false">
      <c r="A164" s="39" t="n">
        <v>80500</v>
      </c>
      <c r="B164" s="39" t="n">
        <v>398.136</v>
      </c>
      <c r="C164" s="39" t="n">
        <v>56.3329</v>
      </c>
      <c r="D164" s="39" t="n">
        <v>8.24367E-005</v>
      </c>
      <c r="E164" s="39" t="n">
        <v>978.159</v>
      </c>
      <c r="F164" s="40" t="n">
        <v>3.04476E-007</v>
      </c>
    </row>
    <row r="165" customFormat="false" ht="14.4" hidden="false" customHeight="false" outlineLevel="0" collapsed="false">
      <c r="A165" s="39" t="n">
        <v>81000</v>
      </c>
      <c r="B165" s="39" t="n">
        <v>398.41</v>
      </c>
      <c r="C165" s="39" t="n">
        <v>55.0228</v>
      </c>
      <c r="D165" s="39" t="n">
        <v>8.04641E-005</v>
      </c>
      <c r="E165" s="39" t="n">
        <v>978.496</v>
      </c>
      <c r="F165" s="40" t="n">
        <v>3.04655E-007</v>
      </c>
    </row>
    <row r="166" customFormat="false" ht="14.4" hidden="false" customHeight="false" outlineLevel="0" collapsed="false">
      <c r="A166" s="39" t="n">
        <v>81500</v>
      </c>
      <c r="B166" s="39" t="n">
        <v>398.684</v>
      </c>
      <c r="C166" s="39" t="n">
        <v>53.744</v>
      </c>
      <c r="D166" s="39" t="n">
        <v>7.854E-005</v>
      </c>
      <c r="E166" s="39" t="n">
        <v>978.832</v>
      </c>
      <c r="F166" s="40" t="n">
        <v>3.04833E-007</v>
      </c>
    </row>
    <row r="167" customFormat="false" ht="14.4" hidden="false" customHeight="false" outlineLevel="0" collapsed="false">
      <c r="A167" s="39" t="n">
        <v>82000</v>
      </c>
      <c r="B167" s="39" t="n">
        <v>398.958</v>
      </c>
      <c r="C167" s="39" t="n">
        <v>52.4959</v>
      </c>
      <c r="D167" s="39" t="n">
        <v>7.66632E-005</v>
      </c>
      <c r="E167" s="39" t="n">
        <v>979.169</v>
      </c>
      <c r="F167" s="40" t="n">
        <v>3.05012E-007</v>
      </c>
    </row>
    <row r="168" customFormat="false" ht="14.4" hidden="false" customHeight="false" outlineLevel="0" collapsed="false">
      <c r="A168" s="39" t="n">
        <v>82500</v>
      </c>
      <c r="B168" s="39" t="n">
        <v>399.233</v>
      </c>
      <c r="C168" s="39" t="n">
        <v>51.2775</v>
      </c>
      <c r="D168" s="39" t="n">
        <v>7.48325E-005</v>
      </c>
      <c r="E168" s="39" t="n">
        <v>979.506</v>
      </c>
      <c r="F168" s="40" t="n">
        <v>3.0519E-007</v>
      </c>
    </row>
    <row r="169" customFormat="false" ht="14.4" hidden="false" customHeight="false" outlineLevel="0" collapsed="false">
      <c r="A169" s="39" t="n">
        <v>83000</v>
      </c>
      <c r="B169" s="39" t="n">
        <v>399.507</v>
      </c>
      <c r="C169" s="39" t="n">
        <v>50.0882</v>
      </c>
      <c r="D169" s="39" t="n">
        <v>7.30467E-005</v>
      </c>
      <c r="E169" s="39" t="n">
        <v>979.842</v>
      </c>
      <c r="F169" s="40" t="n">
        <v>3.05369E-007</v>
      </c>
    </row>
    <row r="170" customFormat="false" ht="14.4" hidden="false" customHeight="false" outlineLevel="0" collapsed="false">
      <c r="A170" s="39" t="n">
        <v>83500</v>
      </c>
      <c r="B170" s="39" t="n">
        <v>399.781</v>
      </c>
      <c r="C170" s="39" t="n">
        <v>48.9273</v>
      </c>
      <c r="D170" s="39" t="n">
        <v>7.13047E-005</v>
      </c>
      <c r="E170" s="39" t="n">
        <v>980.178</v>
      </c>
      <c r="F170" s="40" t="n">
        <v>3.05547E-007</v>
      </c>
    </row>
    <row r="171" customFormat="false" ht="14.4" hidden="false" customHeight="false" outlineLevel="0" collapsed="false">
      <c r="A171" s="39" t="n">
        <v>84000</v>
      </c>
      <c r="B171" s="39" t="n">
        <v>400.056</v>
      </c>
      <c r="C171" s="39" t="n">
        <v>47.7941</v>
      </c>
      <c r="D171" s="39" t="n">
        <v>6.96054E-005</v>
      </c>
      <c r="E171" s="39" t="n">
        <v>980.515</v>
      </c>
      <c r="F171" s="40" t="n">
        <v>3.05726E-007</v>
      </c>
    </row>
    <row r="172" customFormat="false" ht="14.4" hidden="false" customHeight="false" outlineLevel="0" collapsed="false">
      <c r="A172" s="39" t="n">
        <v>84500</v>
      </c>
      <c r="B172" s="39" t="n">
        <v>400.33</v>
      </c>
      <c r="C172" s="39" t="n">
        <v>46.6879</v>
      </c>
      <c r="D172" s="39" t="n">
        <v>6.79478E-005</v>
      </c>
      <c r="E172" s="39" t="n">
        <v>980.851</v>
      </c>
      <c r="F172" s="40" t="n">
        <v>3.05904E-007</v>
      </c>
    </row>
    <row r="173" customFormat="false" ht="14.4" hidden="false" customHeight="false" outlineLevel="0" collapsed="false">
      <c r="A173" s="39" t="n">
        <v>85000</v>
      </c>
      <c r="B173" s="39" t="n">
        <v>400.604</v>
      </c>
      <c r="C173" s="39" t="n">
        <v>45.608</v>
      </c>
      <c r="D173" s="39" t="n">
        <v>6.63307E-005</v>
      </c>
      <c r="E173" s="39" t="n">
        <v>981.187</v>
      </c>
      <c r="F173" s="40" t="n">
        <v>3.06082E-007</v>
      </c>
    </row>
    <row r="174" customFormat="false" ht="14.4" hidden="false" customHeight="false" outlineLevel="0" collapsed="false">
      <c r="A174" s="39" t="n">
        <v>85500</v>
      </c>
      <c r="B174" s="39" t="n">
        <v>400.879</v>
      </c>
      <c r="C174" s="39" t="n">
        <v>44.5538</v>
      </c>
      <c r="D174" s="39" t="n">
        <v>6.47532E-005</v>
      </c>
      <c r="E174" s="39" t="n">
        <v>981.523</v>
      </c>
      <c r="F174" s="40" t="n">
        <v>3.0626E-007</v>
      </c>
    </row>
    <row r="175" customFormat="false" ht="14.4" hidden="false" customHeight="false" outlineLevel="0" collapsed="false">
      <c r="A175" s="39" t="n">
        <v>86000</v>
      </c>
      <c r="B175" s="39" t="n">
        <v>401.153</v>
      </c>
      <c r="C175" s="39" t="n">
        <v>43.5246</v>
      </c>
      <c r="D175" s="39" t="n">
        <v>6.32142E-005</v>
      </c>
      <c r="E175" s="39" t="n">
        <v>981.858</v>
      </c>
      <c r="F175" s="40" t="n">
        <v>3.06438E-007</v>
      </c>
    </row>
    <row r="176" customFormat="false" ht="14.4" hidden="false" customHeight="false" outlineLevel="0" collapsed="false">
      <c r="A176" s="39" t="n">
        <v>86500</v>
      </c>
      <c r="B176" s="39" t="n">
        <v>401.427</v>
      </c>
      <c r="C176" s="39" t="n">
        <v>42.5199</v>
      </c>
      <c r="D176" s="39" t="n">
        <v>6.17128E-005</v>
      </c>
      <c r="E176" s="39" t="n">
        <v>982.194</v>
      </c>
      <c r="F176" s="40" t="n">
        <v>3.06616E-007</v>
      </c>
    </row>
    <row r="177" customFormat="false" ht="14.4" hidden="false" customHeight="false" outlineLevel="0" collapsed="false">
      <c r="A177" s="39" t="n">
        <v>87000</v>
      </c>
      <c r="B177" s="39" t="n">
        <v>401.702</v>
      </c>
      <c r="C177" s="39" t="n">
        <v>41.5391</v>
      </c>
      <c r="D177" s="39" t="n">
        <v>6.02481E-005</v>
      </c>
      <c r="E177" s="39" t="n">
        <v>982.53</v>
      </c>
      <c r="F177" s="40" t="n">
        <v>3.06795E-007</v>
      </c>
    </row>
    <row r="178" customFormat="false" ht="14.4" hidden="false" customHeight="false" outlineLevel="0" collapsed="false">
      <c r="A178" s="39" t="n">
        <v>87500</v>
      </c>
      <c r="B178" s="39" t="n">
        <v>401.976</v>
      </c>
      <c r="C178" s="39" t="n">
        <v>40.5815</v>
      </c>
      <c r="D178" s="39" t="n">
        <v>5.8819E-005</v>
      </c>
      <c r="E178" s="39" t="n">
        <v>982.865</v>
      </c>
      <c r="F178" s="40" t="n">
        <v>3.06973E-007</v>
      </c>
    </row>
    <row r="179" customFormat="false" ht="14.4" hidden="false" customHeight="false" outlineLevel="0" collapsed="false">
      <c r="A179" s="39" t="n">
        <v>88000</v>
      </c>
      <c r="B179" s="39" t="n">
        <v>402.25</v>
      </c>
      <c r="C179" s="39" t="n">
        <v>39.6467</v>
      </c>
      <c r="D179" s="39" t="n">
        <v>5.74249E-005</v>
      </c>
      <c r="E179" s="39" t="n">
        <v>983.2</v>
      </c>
      <c r="F179" s="40" t="n">
        <v>3.0715E-007</v>
      </c>
    </row>
    <row r="180" customFormat="false" ht="14.4" hidden="false" customHeight="false" outlineLevel="0" collapsed="false">
      <c r="A180" s="39" t="n">
        <v>88500</v>
      </c>
      <c r="B180" s="39" t="n">
        <v>402.525</v>
      </c>
      <c r="C180" s="39" t="n">
        <v>38.734</v>
      </c>
      <c r="D180" s="39" t="n">
        <v>5.60647E-005</v>
      </c>
      <c r="E180" s="39" t="n">
        <v>983.536</v>
      </c>
      <c r="F180" s="40" t="n">
        <v>3.07328E-007</v>
      </c>
    </row>
    <row r="181" customFormat="false" ht="14.4" hidden="false" customHeight="false" outlineLevel="0" collapsed="false">
      <c r="A181" s="39" t="n">
        <v>89000</v>
      </c>
      <c r="B181" s="39" t="n">
        <v>402.799</v>
      </c>
      <c r="C181" s="39" t="n">
        <v>37.8429</v>
      </c>
      <c r="D181" s="39" t="n">
        <v>5.47376E-005</v>
      </c>
      <c r="E181" s="39" t="n">
        <v>983.871</v>
      </c>
      <c r="F181" s="40" t="n">
        <v>3.07506E-007</v>
      </c>
    </row>
    <row r="182" customFormat="false" ht="14.4" hidden="false" customHeight="false" outlineLevel="0" collapsed="false">
      <c r="A182" s="39" t="n">
        <v>89500</v>
      </c>
      <c r="B182" s="39" t="n">
        <v>403.073</v>
      </c>
      <c r="C182" s="39" t="n">
        <v>36.9729</v>
      </c>
      <c r="D182" s="39" t="n">
        <v>5.34428E-005</v>
      </c>
      <c r="E182" s="39" t="n">
        <v>984.206</v>
      </c>
      <c r="F182" s="40" t="n">
        <v>3.07684E-007</v>
      </c>
    </row>
    <row r="183" customFormat="false" ht="14.4" hidden="false" customHeight="false" outlineLevel="0" collapsed="false">
      <c r="A183" s="39" t="n">
        <v>90000</v>
      </c>
      <c r="B183" s="39" t="n">
        <v>403.348</v>
      </c>
      <c r="C183" s="39" t="n">
        <v>36.1234</v>
      </c>
      <c r="D183" s="39" t="n">
        <v>5.21794E-005</v>
      </c>
      <c r="E183" s="39" t="n">
        <v>984.541</v>
      </c>
      <c r="F183" s="40" t="n">
        <v>3.07862E-007</v>
      </c>
    </row>
    <row r="184" customFormat="false" ht="14.4" hidden="false" customHeight="false" outlineLevel="0" collapsed="false">
      <c r="A184" s="39" t="n">
        <v>90500</v>
      </c>
      <c r="B184" s="39" t="n">
        <v>403.622</v>
      </c>
      <c r="C184" s="39" t="n">
        <v>35.2941</v>
      </c>
      <c r="D184" s="39" t="n">
        <v>5.09468E-005</v>
      </c>
      <c r="E184" s="39" t="n">
        <v>984.875</v>
      </c>
      <c r="F184" s="40" t="n">
        <v>3.08039E-007</v>
      </c>
    </row>
    <row r="185" customFormat="false" ht="14.4" hidden="false" customHeight="false" outlineLevel="0" collapsed="false">
      <c r="A185" s="39" t="n">
        <v>91000</v>
      </c>
      <c r="B185" s="39" t="n">
        <v>403.896</v>
      </c>
      <c r="C185" s="39" t="n">
        <v>34.4843</v>
      </c>
      <c r="D185" s="39" t="n">
        <v>4.97441E-005</v>
      </c>
      <c r="E185" s="39" t="n">
        <v>985.21</v>
      </c>
      <c r="F185" s="40" t="n">
        <v>3.08217E-007</v>
      </c>
    </row>
    <row r="186" customFormat="false" ht="14.4" hidden="false" customHeight="false" outlineLevel="0" collapsed="false">
      <c r="A186" s="39" t="n">
        <v>91500</v>
      </c>
      <c r="B186" s="39" t="n">
        <v>404.171</v>
      </c>
      <c r="C186" s="39" t="n">
        <v>33.6936</v>
      </c>
      <c r="D186" s="39" t="n">
        <v>4.85705E-005</v>
      </c>
      <c r="E186" s="39" t="n">
        <v>985.544</v>
      </c>
      <c r="F186" s="40" t="n">
        <v>3.08395E-007</v>
      </c>
    </row>
    <row r="187" customFormat="false" ht="14.4" hidden="false" customHeight="false" outlineLevel="0" collapsed="false">
      <c r="A187" s="39" t="n">
        <v>92000</v>
      </c>
      <c r="B187" s="39" t="n">
        <v>404.445</v>
      </c>
      <c r="C187" s="39" t="n">
        <v>32.9216</v>
      </c>
      <c r="D187" s="39" t="n">
        <v>4.74254E-005</v>
      </c>
      <c r="E187" s="39" t="n">
        <v>985.879</v>
      </c>
      <c r="F187" s="40" t="n">
        <v>3.08572E-007</v>
      </c>
    </row>
    <row r="188" customFormat="false" ht="14.4" hidden="false" customHeight="false" outlineLevel="0" collapsed="false">
      <c r="A188" s="39" t="n">
        <v>92500</v>
      </c>
      <c r="B188" s="39" t="n">
        <v>404.719</v>
      </c>
      <c r="C188" s="39" t="n">
        <v>32.1678</v>
      </c>
      <c r="D188" s="39" t="n">
        <v>4.63081E-005</v>
      </c>
      <c r="E188" s="39" t="n">
        <v>986.213</v>
      </c>
      <c r="F188" s="40" t="n">
        <v>3.0875E-007</v>
      </c>
    </row>
    <row r="189" customFormat="false" ht="14.4" hidden="false" customHeight="false" outlineLevel="0" collapsed="false">
      <c r="A189" s="39" t="n">
        <v>93000</v>
      </c>
      <c r="B189" s="39" t="n">
        <v>404.994</v>
      </c>
      <c r="C189" s="39" t="n">
        <v>31.4317</v>
      </c>
      <c r="D189" s="39" t="n">
        <v>4.52178E-005</v>
      </c>
      <c r="E189" s="39" t="n">
        <v>986.547</v>
      </c>
      <c r="F189" s="40" t="n">
        <v>3.08927E-007</v>
      </c>
    </row>
    <row r="190" customFormat="false" ht="14.4" hidden="false" customHeight="false" outlineLevel="0" collapsed="false">
      <c r="A190" s="39" t="n">
        <v>93500</v>
      </c>
      <c r="B190" s="39" t="n">
        <v>405.268</v>
      </c>
      <c r="C190" s="39" t="n">
        <v>30.713</v>
      </c>
      <c r="D190" s="39" t="n">
        <v>4.41539E-005</v>
      </c>
      <c r="E190" s="39" t="n">
        <v>986.881</v>
      </c>
      <c r="F190" s="40" t="n">
        <v>3.09104E-007</v>
      </c>
    </row>
    <row r="191" customFormat="false" ht="14.4" hidden="false" customHeight="false" outlineLevel="0" collapsed="false">
      <c r="A191" s="39" t="n">
        <v>94000</v>
      </c>
      <c r="B191" s="39" t="n">
        <v>405.542</v>
      </c>
      <c r="C191" s="39" t="n">
        <v>30.0111</v>
      </c>
      <c r="D191" s="39" t="n">
        <v>4.31158E-005</v>
      </c>
      <c r="E191" s="39" t="n">
        <v>987.215</v>
      </c>
      <c r="F191" s="40" t="n">
        <v>3.09282E-007</v>
      </c>
    </row>
    <row r="192" customFormat="false" ht="14.4" hidden="false" customHeight="false" outlineLevel="0" collapsed="false">
      <c r="A192" s="39" t="n">
        <v>94500</v>
      </c>
      <c r="B192" s="39" t="n">
        <v>405.816</v>
      </c>
      <c r="C192" s="39" t="n">
        <v>29.3258</v>
      </c>
      <c r="D192" s="39" t="n">
        <v>4.21027E-005</v>
      </c>
      <c r="E192" s="39" t="n">
        <v>987.549</v>
      </c>
      <c r="F192" s="40" t="n">
        <v>3.09459E-007</v>
      </c>
    </row>
    <row r="193" customFormat="false" ht="14.4" hidden="false" customHeight="false" outlineLevel="0" collapsed="false">
      <c r="A193" s="39" t="n">
        <v>95000</v>
      </c>
      <c r="B193" s="39" t="n">
        <v>406.091</v>
      </c>
      <c r="C193" s="39" t="n">
        <v>28.6565</v>
      </c>
      <c r="D193" s="39" t="n">
        <v>4.1114E-005</v>
      </c>
      <c r="E193" s="39" t="n">
        <v>987.883</v>
      </c>
      <c r="F193" s="40" t="n">
        <v>3.09636E-007</v>
      </c>
    </row>
    <row r="194" customFormat="false" ht="14.4" hidden="false" customHeight="false" outlineLevel="0" collapsed="false">
      <c r="A194" s="39" t="n">
        <v>95500</v>
      </c>
      <c r="B194" s="39" t="n">
        <v>406.365</v>
      </c>
      <c r="C194" s="39" t="n">
        <v>28.003</v>
      </c>
      <c r="D194" s="39" t="n">
        <v>4.01493E-005</v>
      </c>
      <c r="E194" s="39" t="n">
        <v>988.216</v>
      </c>
      <c r="F194" s="40" t="n">
        <v>3.09813E-007</v>
      </c>
    </row>
    <row r="195" customFormat="false" ht="14.4" hidden="false" customHeight="false" outlineLevel="0" collapsed="false">
      <c r="A195" s="39" t="n">
        <v>96000</v>
      </c>
      <c r="B195" s="39" t="n">
        <v>406.639</v>
      </c>
      <c r="C195" s="39" t="n">
        <v>27.3648</v>
      </c>
      <c r="D195" s="39" t="n">
        <v>3.92078E-005</v>
      </c>
      <c r="E195" s="39" t="n">
        <v>988.55</v>
      </c>
      <c r="F195" s="40" t="n">
        <v>3.09991E-007</v>
      </c>
    </row>
    <row r="196" customFormat="false" ht="14.4" hidden="false" customHeight="false" outlineLevel="0" collapsed="false">
      <c r="A196" s="39" t="n">
        <v>96500</v>
      </c>
      <c r="B196" s="39" t="n">
        <v>406.914</v>
      </c>
      <c r="C196" s="39" t="n">
        <v>26.7416</v>
      </c>
      <c r="D196" s="39" t="n">
        <v>3.8289E-005</v>
      </c>
      <c r="E196" s="39" t="n">
        <v>988.883</v>
      </c>
      <c r="F196" s="40" t="n">
        <v>3.10168E-007</v>
      </c>
    </row>
    <row r="197" customFormat="false" ht="14.4" hidden="false" customHeight="false" outlineLevel="0" collapsed="false">
      <c r="A197" s="39" t="n">
        <v>97000</v>
      </c>
      <c r="B197" s="39" t="n">
        <v>407.188</v>
      </c>
      <c r="C197" s="39" t="n">
        <v>26.1329</v>
      </c>
      <c r="D197" s="39" t="n">
        <v>3.73923E-005</v>
      </c>
      <c r="E197" s="39" t="n">
        <v>989.217</v>
      </c>
      <c r="F197" s="40" t="n">
        <v>3.10345E-007</v>
      </c>
    </row>
    <row r="198" customFormat="false" ht="14.4" hidden="false" customHeight="false" outlineLevel="0" collapsed="false">
      <c r="A198" s="39" t="n">
        <v>97500</v>
      </c>
      <c r="B198" s="39" t="n">
        <v>407.462</v>
      </c>
      <c r="C198" s="39" t="n">
        <v>25.5385</v>
      </c>
      <c r="D198" s="39" t="n">
        <v>3.65172E-005</v>
      </c>
      <c r="E198" s="39" t="n">
        <v>989.55</v>
      </c>
      <c r="F198" s="40" t="n">
        <v>3.10522E-007</v>
      </c>
    </row>
    <row r="199" customFormat="false" ht="14.4" hidden="false" customHeight="false" outlineLevel="0" collapsed="false">
      <c r="A199" s="39" t="n">
        <v>98000</v>
      </c>
      <c r="B199" s="39" t="n">
        <v>407.737</v>
      </c>
      <c r="C199" s="39" t="n">
        <v>24.958</v>
      </c>
      <c r="D199" s="39" t="n">
        <v>3.56632E-005</v>
      </c>
      <c r="E199" s="39" t="n">
        <v>989.883</v>
      </c>
      <c r="F199" s="40" t="n">
        <v>3.10699E-007</v>
      </c>
    </row>
    <row r="200" customFormat="false" ht="14.4" hidden="false" customHeight="false" outlineLevel="0" collapsed="false">
      <c r="A200" s="39" t="n">
        <v>98500</v>
      </c>
      <c r="B200" s="39" t="n">
        <v>408.011</v>
      </c>
      <c r="C200" s="39" t="n">
        <v>24.3911</v>
      </c>
      <c r="D200" s="39" t="n">
        <v>3.48297E-005</v>
      </c>
      <c r="E200" s="39" t="n">
        <v>990.216</v>
      </c>
      <c r="F200" s="40" t="n">
        <v>3.10876E-007</v>
      </c>
    </row>
    <row r="201" customFormat="false" ht="14.4" hidden="false" customHeight="false" outlineLevel="0" collapsed="false">
      <c r="A201" s="39" t="n">
        <v>99000</v>
      </c>
      <c r="B201" s="39" t="n">
        <v>408.285</v>
      </c>
      <c r="C201" s="39" t="n">
        <v>23.8374</v>
      </c>
      <c r="D201" s="39" t="n">
        <v>3.40162E-005</v>
      </c>
      <c r="E201" s="39" t="n">
        <v>990.549</v>
      </c>
      <c r="F201" s="40" t="n">
        <v>3.11052E-007</v>
      </c>
    </row>
    <row r="202" customFormat="false" ht="14.4" hidden="false" customHeight="false" outlineLevel="0" collapsed="false">
      <c r="A202" s="39" t="n">
        <v>99500</v>
      </c>
      <c r="B202" s="39" t="n">
        <v>408.56</v>
      </c>
      <c r="C202" s="39" t="n">
        <v>23.2967</v>
      </c>
      <c r="D202" s="39" t="n">
        <v>3.32222E-005</v>
      </c>
      <c r="E202" s="39" t="n">
        <v>990.881</v>
      </c>
      <c r="F202" s="40" t="n">
        <v>3.11229E-007</v>
      </c>
    </row>
    <row r="203" customFormat="false" ht="14.4" hidden="false" customHeight="false" outlineLevel="0" collapsed="false">
      <c r="A203" s="39" t="n">
        <v>100000</v>
      </c>
      <c r="B203" s="39" t="n">
        <v>408.834</v>
      </c>
      <c r="C203" s="39" t="n">
        <v>22.7686</v>
      </c>
      <c r="D203" s="39" t="n">
        <v>3.24473E-005</v>
      </c>
      <c r="E203" s="39" t="n">
        <v>991.214</v>
      </c>
      <c r="F203" s="40" t="n">
        <v>3.11406E-007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XLSX_Editor/6.2.8.2$Windows_x86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2023-09-21T20:17:38Z</dcterms:created>
  <dc:creator>John K Mah</dc:creator>
  <dc:description/>
  <dc:language>en-US</dc:language>
  <cp:lastModifiedBy/>
  <dcterms:modified xsi:type="dcterms:W3CDTF">2026-10-06T20:58:02Z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