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GitHub\ASEN_Aircraft_Design\MAIN\Trade Studies\"/>
    </mc:Choice>
  </mc:AlternateContent>
  <xr:revisionPtr revIDLastSave="0" documentId="13_ncr:1_{E5C2055F-8C12-46D1-A58E-C146D0A62D1E}" xr6:coauthVersionLast="47" xr6:coauthVersionMax="47" xr10:uidLastSave="{00000000-0000-0000-0000-000000000000}"/>
  <bookViews>
    <workbookView xWindow="0" yWindow="0" windowWidth="11520" windowHeight="12360" xr2:uid="{8F92E0EF-7E82-4DBA-A0D5-7EFE37AE0789}"/>
  </bookViews>
  <sheets>
    <sheet name="Sref &amp; AR 1" sheetId="16" r:id="rId1"/>
    <sheet name="Trade Study 1" sheetId="14" r:id="rId2"/>
    <sheet name="Trade Study 2" sheetId="15" r:id="rId3"/>
    <sheet name="STDATM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6" l="1" a="1"/>
  <c r="D8" i="16" s="1"/>
  <c r="D10" i="16" s="1"/>
  <c r="C8" i="16" a="1"/>
  <c r="C8" i="16" s="1"/>
  <c r="C10" i="16" s="1"/>
  <c r="B8" i="16" a="1"/>
  <c r="B8" i="16" s="1"/>
  <c r="B10" i="16" s="1"/>
  <c r="D7" i="16" a="1"/>
  <c r="D7" i="16" s="1"/>
  <c r="C7" i="16" a="1"/>
  <c r="C7" i="16" s="1"/>
  <c r="B7" i="16" a="1"/>
  <c r="B7" i="16" s="1"/>
  <c r="D6" i="16" a="1"/>
  <c r="D6" i="16" s="1"/>
  <c r="C6" i="16" a="1"/>
  <c r="C6" i="16" s="1"/>
  <c r="B6" i="16" a="1"/>
  <c r="B6" i="16" s="1"/>
  <c r="D8" i="15" a="1"/>
  <c r="D8" i="15" s="1"/>
  <c r="D10" i="15" s="1"/>
  <c r="C8" i="15" a="1"/>
  <c r="C8" i="15" s="1"/>
  <c r="C10" i="15" s="1"/>
  <c r="B8" i="15" a="1"/>
  <c r="B8" i="15" s="1"/>
  <c r="B10" i="15" s="1"/>
  <c r="D7" i="15" a="1"/>
  <c r="D7" i="15" s="1"/>
  <c r="C7" i="15" a="1"/>
  <c r="C7" i="15" s="1"/>
  <c r="B7" i="15" a="1"/>
  <c r="B7" i="15" s="1"/>
  <c r="D6" i="15" a="1"/>
  <c r="D6" i="15" s="1"/>
  <c r="C6" i="15" a="1"/>
  <c r="C6" i="15" s="1"/>
  <c r="B6" i="15" a="1"/>
  <c r="B6" i="15" s="1"/>
  <c r="D8" i="14" a="1"/>
  <c r="D8" i="14" s="1"/>
  <c r="D10" i="14" s="1"/>
  <c r="C8" i="14" a="1"/>
  <c r="C8" i="14" s="1"/>
  <c r="C10" i="14" s="1"/>
  <c r="B8" i="14" a="1"/>
  <c r="B8" i="14" s="1"/>
  <c r="B10" i="14" s="1"/>
  <c r="D7" i="14" a="1"/>
  <c r="D7" i="14" s="1"/>
  <c r="C7" i="14" a="1"/>
  <c r="C7" i="14" s="1"/>
  <c r="B7" i="14" a="1"/>
  <c r="B7" i="14" s="1"/>
  <c r="D6" i="14" a="1"/>
  <c r="D6" i="14" s="1"/>
  <c r="C6" i="14" a="1"/>
  <c r="C6" i="14" s="1"/>
  <c r="B6" i="14" a="1"/>
  <c r="B6" i="14" s="1"/>
  <c r="B11" i="16" l="1"/>
  <c r="C11" i="16"/>
  <c r="D11" i="16"/>
  <c r="D11" i="15"/>
  <c r="C11" i="15"/>
  <c r="B11" i="15"/>
  <c r="B11" i="14"/>
  <c r="C11" i="14"/>
  <c r="D11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9" authorId="0" shapeId="0" xr:uid="{054C0322-3328-42B3-B8B6-3269690374FA}">
      <text>
        <r>
          <rPr>
            <b/>
            <sz val="9"/>
            <color indexed="81"/>
            <rFont val="Tahoma"/>
            <charset val="1"/>
          </rPr>
          <t>John Mah:</t>
        </r>
        <r>
          <rPr>
            <sz val="9"/>
            <color indexed="81"/>
            <rFont val="Tahoma"/>
            <charset val="1"/>
          </rPr>
          <t xml:space="preserve">
User defined independent variable adjusting for in trade.  Can be single or multiple.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9" authorId="0" shapeId="0" xr:uid="{7D7F63E4-545E-4A64-B835-97D475B2CF47}">
      <text>
        <r>
          <rPr>
            <b/>
            <sz val="9"/>
            <color indexed="81"/>
            <rFont val="Tahoma"/>
            <charset val="1"/>
          </rPr>
          <t>John Mah:</t>
        </r>
        <r>
          <rPr>
            <sz val="9"/>
            <color indexed="81"/>
            <rFont val="Tahoma"/>
            <charset val="1"/>
          </rPr>
          <t xml:space="preserve">
User defined independent variable adjusting for in trade.  Can be single or multiple.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9" authorId="0" shapeId="0" xr:uid="{A463492B-84F3-42A9-A924-07E47CD2CC34}">
      <text>
        <r>
          <rPr>
            <b/>
            <sz val="9"/>
            <color indexed="81"/>
            <rFont val="Tahoma"/>
            <charset val="1"/>
          </rPr>
          <t>John Mah:</t>
        </r>
        <r>
          <rPr>
            <sz val="9"/>
            <color indexed="81"/>
            <rFont val="Tahoma"/>
            <charset val="1"/>
          </rPr>
          <t xml:space="preserve">
User defined independent variable adjusting for in trade.  Can be single or multiple.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<sst xmlns="http://schemas.openxmlformats.org/spreadsheetml/2006/main" count="205" uniqueCount="79">
  <si>
    <t>Re</t>
  </si>
  <si>
    <t>Variable 1</t>
  </si>
  <si>
    <t>Test Case</t>
  </si>
  <si>
    <t>Taper</t>
  </si>
  <si>
    <t>Wo</t>
  </si>
  <si>
    <t>Sref</t>
  </si>
  <si>
    <t>t/c (airfoil)</t>
  </si>
  <si>
    <t>Dihedral</t>
  </si>
  <si>
    <t>Twist</t>
  </si>
  <si>
    <t>Biconvex</t>
  </si>
  <si>
    <t>ft^2</t>
  </si>
  <si>
    <t>deg</t>
  </si>
  <si>
    <t>Altitude</t>
  </si>
  <si>
    <t>Density</t>
  </si>
  <si>
    <t>MAC</t>
  </si>
  <si>
    <t>Trade Study Data Capture</t>
  </si>
  <si>
    <t>Brandt, Whitford Constraint Analysis Method</t>
  </si>
  <si>
    <t>Raymer First Order Weight Estimation Method</t>
  </si>
  <si>
    <t>No changes to other aircraft components</t>
  </si>
  <si>
    <t>Keep close tabs on iteration version for your aircraft as you go through your trade study iterations!</t>
  </si>
  <si>
    <t>(Actually varies w/ AR and taper, but using representative case just to estimate Re)</t>
  </si>
  <si>
    <t>VSPAERO - VLM Method, VSP - Parasite Drag (Blausius-Lam &amp; Turb), VSP - Wave Drag (Whitcomb)</t>
  </si>
  <si>
    <t>Aerodynamics Model</t>
  </si>
  <si>
    <t>Mission Sizing Model</t>
  </si>
  <si>
    <t>Performance Sizing Model</t>
  </si>
  <si>
    <t>Analysis Method / Models</t>
  </si>
  <si>
    <t>Variable 2 (Optional)</t>
  </si>
  <si>
    <t>Flight Conditions for Trade Study</t>
  </si>
  <si>
    <t>Design Variables held Constant for Trade Study</t>
  </si>
  <si>
    <t>Fuselage component version</t>
  </si>
  <si>
    <t>Tail component version</t>
  </si>
  <si>
    <t>Engine inlet version</t>
  </si>
  <si>
    <t>Overall Configuration Baseline</t>
  </si>
  <si>
    <t>Dash 1.0</t>
  </si>
  <si>
    <t>Aircraft Baseline Configuration for Trade Study (align with OpenVSP geometry component names)</t>
  </si>
  <si>
    <t>Angle of Attack Range</t>
  </si>
  <si>
    <t>-5 deg to 12 deg</t>
  </si>
  <si>
    <t>Machs tested</t>
  </si>
  <si>
    <t>Velocity (ft/s)</t>
  </si>
  <si>
    <t>Speed of Sound (ft/s)</t>
  </si>
  <si>
    <t>Density (slug/ft^3)</t>
  </si>
  <si>
    <t>Parameter</t>
  </si>
  <si>
    <t>Wing version</t>
  </si>
  <si>
    <t>[ft]</t>
  </si>
  <si>
    <t>Temperature</t>
  </si>
  <si>
    <t>[Rankine]</t>
  </si>
  <si>
    <t>Pressure</t>
  </si>
  <si>
    <t>[pound-force/sq. foot]</t>
  </si>
  <si>
    <t>[slug/ft3]</t>
  </si>
  <si>
    <t>Speed of sound</t>
  </si>
  <si>
    <t>[ft/s]</t>
  </si>
  <si>
    <t>[lb.sec/ft^2]</t>
  </si>
  <si>
    <t xml:space="preserve"> Viscosity</t>
  </si>
  <si>
    <t>Viscosity  (lb*s/ft^2)</t>
  </si>
  <si>
    <t>Altitude (ft) in 500ft increments</t>
  </si>
  <si>
    <t>Trade Study Name:</t>
  </si>
  <si>
    <t>Subsonic</t>
  </si>
  <si>
    <t>Transonic</t>
  </si>
  <si>
    <t>Supersonic</t>
  </si>
  <si>
    <t>Wf or Wbatt</t>
  </si>
  <si>
    <t>Mission Analysis  Critical Metrics</t>
  </si>
  <si>
    <t>Constraint Analysis Critical Metrics</t>
  </si>
  <si>
    <t>Limiting Requirements</t>
  </si>
  <si>
    <t>Current DP W/S</t>
  </si>
  <si>
    <t>Current DP T/W</t>
  </si>
  <si>
    <t>T/W opt</t>
  </si>
  <si>
    <t>W/S opt</t>
  </si>
  <si>
    <t>ft</t>
  </si>
  <si>
    <t>Trade Study Name: Planform Area and Aspect Ratio</t>
  </si>
  <si>
    <t>Sweep</t>
  </si>
  <si>
    <t>NACA 0009</t>
  </si>
  <si>
    <t>Fuselage Length</t>
  </si>
  <si>
    <t>AR</t>
  </si>
  <si>
    <t>JetSubmersible_can1</t>
  </si>
  <si>
    <t>Crew Weight</t>
  </si>
  <si>
    <t>Fixed Payload</t>
  </si>
  <si>
    <t>lb</t>
  </si>
  <si>
    <t>Total Uninstalled Thrust</t>
  </si>
  <si>
    <t>Varies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</si>
</sst>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2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5" borderId="1" xfId="0" applyFont="1" applyFill="1" applyBorder="1" applyAlignment="1">
      <alignment horizontal="center"/>
    </xf>
    <xf numFmtId="0" fontId="3" fillId="6" borderId="0" xfId="0" applyFont="1" applyFill="1"/>
    <xf numFmtId="0" fontId="0" fillId="7" borderId="0" xfId="0" applyFill="1"/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4" fillId="3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8" fillId="10" borderId="0" xfId="0" applyFont="1" applyFill="1"/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2" fillId="11" borderId="1" xfId="0" applyFont="1" applyFill="1" applyBorder="1" applyAlignment="1">
      <alignment horizontal="center"/>
    </xf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A1E1-4C1C-4501-A4D1-6D983190DA4B}">
  <dimension ref="A1:K100"/>
  <sheetViews>
    <sheetView tabSelected="1" topLeftCell="A37" workbookViewId="0">
      <selection activeCell="D52" sqref="D52"/>
    </sheetView>
  </sheetViews>
  <sheetFormatPr defaultRowHeight="14.4" x14ac:dyDescent="0.3"/>
  <cols>
    <col min="1" max="1" width="36" bestFit="1" customWidth="1"/>
    <col min="2" max="2" width="17.109375" customWidth="1"/>
    <col min="3" max="3" width="15.44140625" customWidth="1"/>
    <col min="4" max="5" width="15.77734375" customWidth="1"/>
    <col min="6" max="6" width="17" customWidth="1"/>
    <col min="7" max="7" width="16.77734375" customWidth="1"/>
    <col min="8" max="9" width="10.77734375" customWidth="1"/>
    <col min="10" max="10" width="34.109375" customWidth="1"/>
  </cols>
  <sheetData>
    <row r="1" spans="1:6" s="24" customFormat="1" ht="25.8" x14ac:dyDescent="0.5">
      <c r="A1" s="24" t="s">
        <v>68</v>
      </c>
    </row>
    <row r="3" spans="1:6" s="3" customFormat="1" ht="21" x14ac:dyDescent="0.4">
      <c r="A3" s="30" t="s">
        <v>27</v>
      </c>
      <c r="B3" s="30"/>
      <c r="C3" s="30"/>
      <c r="D3" s="30"/>
      <c r="E3" s="25"/>
    </row>
    <row r="4" spans="1:6" s="3" customFormat="1" x14ac:dyDescent="0.3">
      <c r="A4" s="16" t="s">
        <v>41</v>
      </c>
      <c r="B4" s="16" t="s">
        <v>56</v>
      </c>
      <c r="C4" s="16" t="s">
        <v>57</v>
      </c>
      <c r="D4" s="16" t="s">
        <v>58</v>
      </c>
      <c r="E4" s="16"/>
      <c r="F4" s="16"/>
    </row>
    <row r="5" spans="1:6" x14ac:dyDescent="0.3">
      <c r="A5" t="s">
        <v>54</v>
      </c>
      <c r="B5" s="17">
        <v>35000</v>
      </c>
      <c r="C5" s="17">
        <v>35000</v>
      </c>
      <c r="D5" s="17">
        <v>0</v>
      </c>
      <c r="E5" s="17"/>
      <c r="F5" s="17"/>
    </row>
    <row r="6" spans="1:6" x14ac:dyDescent="0.3">
      <c r="A6" t="s">
        <v>40</v>
      </c>
      <c r="B6" s="17" cm="1">
        <f t="array" ref="B6">_xlfn.XLOOKUP(B$5,STDATM!$A$3:$A$203,STDATM!$D$3:$D$203,NA,0,1)</f>
        <v>7.3662700000000001E-4</v>
      </c>
      <c r="C6" s="17" cm="1">
        <f t="array" ref="C6">_xlfn.XLOOKUP(C$5,STDATM!$A$3:$A$203,STDATM!$D$3:$D$203,NA,0,1)</f>
        <v>7.3662700000000001E-4</v>
      </c>
      <c r="D6" s="17" cm="1">
        <f t="array" ref="D6">_xlfn.XLOOKUP(D$5,STDATM!$A$3:$A$203,STDATM!$D$3:$D$203,NA,0,1)</f>
        <v>2.3771700000000001E-3</v>
      </c>
      <c r="E6" s="17"/>
      <c r="F6" s="17"/>
    </row>
    <row r="7" spans="1:6" x14ac:dyDescent="0.3">
      <c r="A7" t="s">
        <v>53</v>
      </c>
      <c r="B7" s="17" cm="1">
        <f t="array" ref="B7">_xlfn.XLOOKUP(B$5,STDATM!$A$3:$A$203,STDATM!$F$3:$F$203,NA,0,1)</f>
        <v>3.0168100000000001E-7</v>
      </c>
      <c r="C7" s="17" cm="1">
        <f t="array" ref="C7">_xlfn.XLOOKUP(C$5,STDATM!$A$3:$A$203,STDATM!$F$3:$F$203,NA,0,1)</f>
        <v>3.0168100000000001E-7</v>
      </c>
      <c r="D7" s="17" cm="1">
        <f t="array" ref="D7">_xlfn.XLOOKUP(D$5,STDATM!$A$3:$A$203,STDATM!$F$3:$F$203,NA,0,1)</f>
        <v>3.7845600000000001E-7</v>
      </c>
      <c r="E7" s="17"/>
    </row>
    <row r="8" spans="1:6" x14ac:dyDescent="0.3">
      <c r="A8" t="s">
        <v>39</v>
      </c>
      <c r="B8" s="17" cm="1">
        <f t="array" ref="B8">_xlfn.XLOOKUP(B$5,STDATM!$A$3:$A$203,STDATM!$E$3:$E$203,NA,0,1)</f>
        <v>972.88499999999999</v>
      </c>
      <c r="C8" s="17" cm="1">
        <f t="array" ref="C8">_xlfn.XLOOKUP(C$5,STDATM!$A$3:$A$203,STDATM!$E$3:$E$203,NA,0,1)</f>
        <v>972.88499999999999</v>
      </c>
      <c r="D8" s="17" cm="1">
        <f t="array" ref="D8">_xlfn.XLOOKUP(D$5,STDATM!$A$3:$A$203,STDATM!$E$3:$E$203,NA,0,1)</f>
        <v>1116.45</v>
      </c>
      <c r="E8" s="17"/>
    </row>
    <row r="9" spans="1:6" x14ac:dyDescent="0.3">
      <c r="A9" t="s">
        <v>37</v>
      </c>
      <c r="B9" s="17">
        <v>0.75</v>
      </c>
      <c r="C9" s="17">
        <v>0.95</v>
      </c>
      <c r="D9" s="17">
        <v>2</v>
      </c>
      <c r="E9" s="17"/>
    </row>
    <row r="10" spans="1:6" x14ac:dyDescent="0.3">
      <c r="A10" s="1" t="s">
        <v>38</v>
      </c>
      <c r="B10" s="18">
        <f>B9*B$8</f>
        <v>729.66374999999994</v>
      </c>
      <c r="C10" s="18">
        <f t="shared" ref="C10:D10" si="0">C9*C$8</f>
        <v>924.24074999999993</v>
      </c>
      <c r="D10" s="18">
        <f t="shared" si="0"/>
        <v>2232.9</v>
      </c>
      <c r="E10" s="18"/>
    </row>
    <row r="11" spans="1:6" x14ac:dyDescent="0.3">
      <c r="A11" s="1" t="s">
        <v>0</v>
      </c>
      <c r="B11" s="19" t="e">
        <f>(B6*B10*$B$27)/B7</f>
        <v>#VALUE!</v>
      </c>
      <c r="C11" s="19" t="e">
        <f t="shared" ref="C11:D11" si="1">(C6*C10*$B$27)/C7</f>
        <v>#VALUE!</v>
      </c>
      <c r="D11" s="19" t="e">
        <f t="shared" si="1"/>
        <v>#VALUE!</v>
      </c>
      <c r="E11" s="19"/>
    </row>
    <row r="12" spans="1:6" x14ac:dyDescent="0.3">
      <c r="A12" t="s">
        <v>35</v>
      </c>
      <c r="B12" s="20" t="s">
        <v>36</v>
      </c>
      <c r="C12" s="20" t="s">
        <v>36</v>
      </c>
      <c r="D12" s="20" t="s">
        <v>36</v>
      </c>
      <c r="E12" s="20"/>
    </row>
    <row r="14" spans="1:6" s="4" customFormat="1" ht="21" x14ac:dyDescent="0.4">
      <c r="A14" s="15" t="s">
        <v>34</v>
      </c>
      <c r="B14" s="15"/>
      <c r="C14" s="15"/>
      <c r="D14" s="15"/>
      <c r="E14" s="15"/>
    </row>
    <row r="15" spans="1:6" x14ac:dyDescent="0.3">
      <c r="A15" t="s">
        <v>32</v>
      </c>
      <c r="B15" s="11" t="s">
        <v>73</v>
      </c>
    </row>
    <row r="16" spans="1:6" x14ac:dyDescent="0.3">
      <c r="A16" t="s">
        <v>29</v>
      </c>
      <c r="B16" s="11" t="s">
        <v>73</v>
      </c>
    </row>
    <row r="17" spans="1:5" x14ac:dyDescent="0.3">
      <c r="A17" t="s">
        <v>30</v>
      </c>
      <c r="B17" s="11" t="s">
        <v>73</v>
      </c>
    </row>
    <row r="18" spans="1:5" x14ac:dyDescent="0.3">
      <c r="A18" t="s">
        <v>31</v>
      </c>
      <c r="B18" s="11" t="s">
        <v>73</v>
      </c>
    </row>
    <row r="19" spans="1:5" x14ac:dyDescent="0.3">
      <c r="A19" t="s">
        <v>42</v>
      </c>
      <c r="B19" s="11"/>
    </row>
    <row r="21" spans="1:5" s="5" customFormat="1" ht="21" x14ac:dyDescent="0.4">
      <c r="A21" s="31" t="s">
        <v>28</v>
      </c>
      <c r="B21" s="31"/>
      <c r="C21" s="31"/>
      <c r="D21" s="31"/>
      <c r="E21" s="26"/>
    </row>
    <row r="22" spans="1:5" x14ac:dyDescent="0.3">
      <c r="A22" t="s">
        <v>69</v>
      </c>
      <c r="B22" s="17" t="s">
        <v>78</v>
      </c>
      <c r="C22" s="17" t="s">
        <v>11</v>
      </c>
    </row>
    <row r="23" spans="1:5" x14ac:dyDescent="0.3">
      <c r="A23" t="s">
        <v>3</v>
      </c>
      <c r="B23" s="17">
        <v>0.35</v>
      </c>
      <c r="C23" s="17"/>
    </row>
    <row r="24" spans="1:5" x14ac:dyDescent="0.3">
      <c r="A24" t="s">
        <v>6</v>
      </c>
      <c r="B24" s="17">
        <v>0.3</v>
      </c>
      <c r="C24" s="17" t="s">
        <v>70</v>
      </c>
    </row>
    <row r="25" spans="1:5" x14ac:dyDescent="0.3">
      <c r="A25" t="s">
        <v>7</v>
      </c>
      <c r="B25" s="17">
        <v>0</v>
      </c>
      <c r="C25" s="17" t="s">
        <v>11</v>
      </c>
    </row>
    <row r="26" spans="1:5" x14ac:dyDescent="0.3">
      <c r="A26" t="s">
        <v>8</v>
      </c>
      <c r="B26" s="17">
        <v>0</v>
      </c>
      <c r="C26" s="17" t="s">
        <v>11</v>
      </c>
    </row>
    <row r="27" spans="1:5" x14ac:dyDescent="0.3">
      <c r="A27" t="s">
        <v>71</v>
      </c>
      <c r="B27" s="17" t="s">
        <v>78</v>
      </c>
      <c r="C27" s="17" t="s">
        <v>67</v>
      </c>
    </row>
    <row r="28" spans="1:5" x14ac:dyDescent="0.3">
      <c r="A28" t="s">
        <v>74</v>
      </c>
      <c r="B28" s="17">
        <v>450</v>
      </c>
      <c r="C28" s="17" t="s">
        <v>76</v>
      </c>
    </row>
    <row r="29" spans="1:5" x14ac:dyDescent="0.3">
      <c r="A29" t="s">
        <v>75</v>
      </c>
      <c r="B29" s="17">
        <v>1000</v>
      </c>
      <c r="C29" s="17" t="s">
        <v>76</v>
      </c>
    </row>
    <row r="30" spans="1:5" x14ac:dyDescent="0.3">
      <c r="A30" t="s">
        <v>77</v>
      </c>
      <c r="B30" s="17">
        <v>12200</v>
      </c>
      <c r="C30" s="17" t="s">
        <v>76</v>
      </c>
    </row>
    <row r="32" spans="1:5" s="10" customFormat="1" ht="21" x14ac:dyDescent="0.4">
      <c r="A32" s="32" t="s">
        <v>25</v>
      </c>
      <c r="B32" s="32"/>
    </row>
    <row r="33" spans="1:11" x14ac:dyDescent="0.3">
      <c r="A33" t="s">
        <v>22</v>
      </c>
      <c r="B33" t="s">
        <v>21</v>
      </c>
    </row>
    <row r="34" spans="1:11" x14ac:dyDescent="0.3">
      <c r="A34" t="s">
        <v>23</v>
      </c>
      <c r="B34" t="s">
        <v>17</v>
      </c>
    </row>
    <row r="35" spans="1:11" x14ac:dyDescent="0.3">
      <c r="A35" t="s">
        <v>24</v>
      </c>
      <c r="B35" t="s">
        <v>16</v>
      </c>
    </row>
    <row r="37" spans="1:11" s="9" customFormat="1" ht="21" x14ac:dyDescent="0.4">
      <c r="A37" s="33" t="s">
        <v>15</v>
      </c>
      <c r="B37" s="33"/>
      <c r="C37" s="33"/>
      <c r="D37" s="33"/>
      <c r="E37" s="33"/>
      <c r="F37" s="33"/>
      <c r="G37" s="33"/>
      <c r="H37" s="33"/>
      <c r="I37" s="33"/>
      <c r="J37" s="33"/>
    </row>
    <row r="38" spans="1:11" ht="58.05" customHeight="1" x14ac:dyDescent="0.3">
      <c r="A38" s="8"/>
      <c r="B38" s="8" t="s">
        <v>1</v>
      </c>
      <c r="C38" s="12" t="s">
        <v>26</v>
      </c>
      <c r="D38" s="34" t="s">
        <v>60</v>
      </c>
      <c r="E38" s="35"/>
      <c r="F38" s="36" t="s">
        <v>61</v>
      </c>
      <c r="G38" s="37"/>
      <c r="H38" s="37"/>
      <c r="I38" s="37"/>
      <c r="J38" s="38"/>
      <c r="K38" s="2"/>
    </row>
    <row r="39" spans="1:11" x14ac:dyDescent="0.3">
      <c r="A39" s="8" t="s">
        <v>2</v>
      </c>
      <c r="B39" s="13" t="s">
        <v>5</v>
      </c>
      <c r="C39" s="13" t="s">
        <v>72</v>
      </c>
      <c r="D39" s="14" t="s">
        <v>4</v>
      </c>
      <c r="E39" s="14" t="s">
        <v>59</v>
      </c>
      <c r="F39" s="27" t="s">
        <v>63</v>
      </c>
      <c r="G39" s="27" t="s">
        <v>64</v>
      </c>
      <c r="H39" s="27" t="s">
        <v>66</v>
      </c>
      <c r="I39" s="27" t="s">
        <v>65</v>
      </c>
      <c r="J39" s="27" t="s">
        <v>62</v>
      </c>
    </row>
    <row r="40" spans="1:11" x14ac:dyDescent="0.3">
      <c r="A40" s="6">
        <v>1.1000000000000001</v>
      </c>
      <c r="B40" s="29">
        <v>650</v>
      </c>
      <c r="C40" s="29">
        <v>1.25</v>
      </c>
      <c r="D40" s="7">
        <v>16333.834298527188</v>
      </c>
      <c r="E40" s="7">
        <v>3829.6068257748648</v>
      </c>
      <c r="F40" s="7">
        <v>25.244349266903075</v>
      </c>
      <c r="G40" s="7">
        <v>0.74350226146801124</v>
      </c>
      <c r="H40" s="28"/>
      <c r="I40" s="28"/>
      <c r="J40" s="28"/>
    </row>
    <row r="41" spans="1:11" x14ac:dyDescent="0.3">
      <c r="A41" s="6">
        <v>1.2</v>
      </c>
      <c r="B41" s="29">
        <v>600</v>
      </c>
      <c r="C41" s="29">
        <v>1.25</v>
      </c>
      <c r="D41" s="7">
        <v>15840.810534654349</v>
      </c>
      <c r="E41" s="7">
        <v>3735.9138203939165</v>
      </c>
      <c r="F41" s="7">
        <v>26.519627535345688</v>
      </c>
      <c r="G41" s="7">
        <v>0.76672771162539199</v>
      </c>
      <c r="H41" s="28"/>
      <c r="I41" s="28"/>
      <c r="J41" s="28"/>
    </row>
    <row r="42" spans="1:11" x14ac:dyDescent="0.3">
      <c r="A42" s="6">
        <v>1.3</v>
      </c>
      <c r="B42" s="29">
        <v>550</v>
      </c>
      <c r="C42" s="29">
        <v>1.25</v>
      </c>
      <c r="D42" s="7">
        <v>15358.4450762222</v>
      </c>
      <c r="E42" s="7">
        <v>3656.2161254577586</v>
      </c>
      <c r="F42" s="7">
        <v>28.055083312746156</v>
      </c>
      <c r="G42" s="7">
        <v>0.79065237249680176</v>
      </c>
      <c r="H42" s="28"/>
      <c r="I42" s="28"/>
      <c r="J42" s="28"/>
    </row>
    <row r="43" spans="1:11" x14ac:dyDescent="0.3">
      <c r="A43" s="6">
        <v>1.4</v>
      </c>
      <c r="B43" s="29">
        <v>500</v>
      </c>
      <c r="C43" s="29">
        <v>1.25</v>
      </c>
      <c r="D43" s="7">
        <v>14876.85127380343</v>
      </c>
      <c r="E43" s="7">
        <v>3588.3445214604499</v>
      </c>
      <c r="F43" s="7">
        <v>29.894612790159044</v>
      </c>
      <c r="G43" s="7">
        <v>0.81620057002485058</v>
      </c>
      <c r="H43" s="28"/>
      <c r="I43" s="28"/>
      <c r="J43" s="28"/>
    </row>
    <row r="44" spans="1:11" x14ac:dyDescent="0.3">
      <c r="A44" s="6">
        <v>1.5</v>
      </c>
      <c r="B44" s="29">
        <v>450</v>
      </c>
      <c r="C44" s="29">
        <v>1.25</v>
      </c>
      <c r="D44" s="7">
        <v>14413.314735081396</v>
      </c>
      <c r="E44" s="7">
        <v>3543.9504951447898</v>
      </c>
      <c r="F44" s="7">
        <v>32.187041144406884</v>
      </c>
      <c r="G44" s="7">
        <v>0.84229895470905014</v>
      </c>
      <c r="H44" s="28"/>
      <c r="I44" s="28"/>
      <c r="J44" s="28"/>
    </row>
    <row r="45" spans="1:11" x14ac:dyDescent="0.3">
      <c r="A45" s="29">
        <v>2.1</v>
      </c>
      <c r="B45" s="29">
        <v>650</v>
      </c>
      <c r="C45" s="29">
        <v>1.5</v>
      </c>
      <c r="D45" s="7">
        <v>16647.074847609103</v>
      </c>
      <c r="E45" s="7">
        <v>3589.7699248129902</v>
      </c>
      <c r="F45" s="7">
        <v>25.730229049079611</v>
      </c>
      <c r="G45" s="7">
        <v>0.72946224976967933</v>
      </c>
      <c r="H45" s="28"/>
      <c r="I45" s="28"/>
      <c r="J45" s="28"/>
    </row>
    <row r="46" spans="1:11" x14ac:dyDescent="0.3">
      <c r="A46" s="29">
        <v>2.2000000000000002</v>
      </c>
      <c r="B46" s="29">
        <v>600</v>
      </c>
      <c r="C46" s="29">
        <v>1.5</v>
      </c>
      <c r="D46" s="7">
        <v>16087.625962990722</v>
      </c>
      <c r="E46" s="7">
        <v>3471.7945290275702</v>
      </c>
      <c r="F46" s="7">
        <v>26.931524495060259</v>
      </c>
      <c r="G46" s="7">
        <v>0.75500120080698907</v>
      </c>
      <c r="H46" s="28"/>
      <c r="I46" s="28"/>
      <c r="J46" s="28"/>
    </row>
    <row r="47" spans="1:11" x14ac:dyDescent="0.3">
      <c r="A47" s="29">
        <v>2.2999999999999998</v>
      </c>
      <c r="B47" s="29">
        <v>550</v>
      </c>
      <c r="C47" s="29">
        <v>1.5</v>
      </c>
      <c r="D47" s="7">
        <v>15533.485722076859</v>
      </c>
      <c r="E47" s="7">
        <v>3363.0298131668801</v>
      </c>
      <c r="F47" s="7">
        <v>28.376662553826502</v>
      </c>
      <c r="G47" s="7">
        <v>0.78169228462799034</v>
      </c>
      <c r="H47" s="28"/>
      <c r="I47" s="28"/>
      <c r="J47" s="28"/>
    </row>
    <row r="48" spans="1:11" x14ac:dyDescent="0.3">
      <c r="A48" s="29">
        <v>2.4</v>
      </c>
      <c r="B48" s="29">
        <v>500</v>
      </c>
      <c r="C48" s="29">
        <v>1.5</v>
      </c>
      <c r="D48" s="7">
        <v>14959.083421784053</v>
      </c>
      <c r="E48" s="7">
        <v>3254.93741638246</v>
      </c>
      <c r="F48" s="7">
        <v>30.055158385509131</v>
      </c>
      <c r="G48" s="7">
        <v>0.81184067264021731</v>
      </c>
      <c r="H48" s="28"/>
      <c r="I48" s="28"/>
      <c r="J48" s="28"/>
    </row>
    <row r="49" spans="1:10" x14ac:dyDescent="0.3">
      <c r="A49" s="29">
        <v>2.5</v>
      </c>
      <c r="B49" s="29">
        <v>450</v>
      </c>
      <c r="C49" s="29">
        <v>1.5</v>
      </c>
      <c r="D49" s="7">
        <v>14374.252301166831</v>
      </c>
      <c r="E49" s="7">
        <v>3153.27929922455</v>
      </c>
      <c r="F49" s="7">
        <v>32.079256576656313</v>
      </c>
      <c r="G49" s="7">
        <v>0.8451290336584526</v>
      </c>
      <c r="H49" s="28"/>
      <c r="I49" s="28"/>
      <c r="J49" s="28"/>
    </row>
    <row r="50" spans="1:10" x14ac:dyDescent="0.3">
      <c r="A50" s="29">
        <v>3.1</v>
      </c>
      <c r="B50" s="29">
        <v>650</v>
      </c>
      <c r="C50" s="29">
        <v>1.75</v>
      </c>
      <c r="D50" s="7">
        <v>17026.825070361927</v>
      </c>
      <c r="E50" s="7">
        <v>3478.9784381437985</v>
      </c>
      <c r="F50" s="7">
        <v>26.153846153846153</v>
      </c>
      <c r="G50" s="7">
        <v>0.71764705882352942</v>
      </c>
      <c r="H50" s="28"/>
      <c r="I50" s="28"/>
      <c r="J50" s="28"/>
    </row>
    <row r="51" spans="1:10" x14ac:dyDescent="0.3">
      <c r="A51" s="29">
        <v>3.2</v>
      </c>
      <c r="B51" s="29">
        <v>600</v>
      </c>
      <c r="C51" s="29">
        <v>1.75</v>
      </c>
      <c r="D51" s="7">
        <v>16564.952728166798</v>
      </c>
      <c r="E51" s="7">
        <v>3396.8604949609435</v>
      </c>
      <c r="F51" s="7">
        <v>27.724119108678448</v>
      </c>
      <c r="G51" s="7">
        <v>0.73341675000120798</v>
      </c>
      <c r="H51" s="28"/>
      <c r="I51" s="28"/>
      <c r="J51" s="28"/>
    </row>
    <row r="52" spans="1:10" x14ac:dyDescent="0.3">
      <c r="A52" s="6">
        <v>3.3</v>
      </c>
      <c r="B52" s="29">
        <v>550</v>
      </c>
      <c r="C52" s="29">
        <v>1.75</v>
      </c>
      <c r="D52" s="7">
        <v>15964.320704300892</v>
      </c>
      <c r="E52" s="7">
        <v>3273.7397524793669</v>
      </c>
      <c r="F52" s="7">
        <v>29.16347500797994</v>
      </c>
      <c r="G52" s="7">
        <v>0.76060271197957774</v>
      </c>
      <c r="H52" s="28"/>
      <c r="I52" s="28"/>
      <c r="J52" s="28"/>
    </row>
    <row r="53" spans="1:10" x14ac:dyDescent="0.3">
      <c r="A53" s="6">
        <v>3.4</v>
      </c>
      <c r="B53" s="29">
        <v>500</v>
      </c>
      <c r="C53" s="29">
        <v>1.75</v>
      </c>
      <c r="D53" s="7">
        <v>15342.574250694248</v>
      </c>
      <c r="E53" s="7">
        <v>3150.7306586193199</v>
      </c>
      <c r="F53" s="7">
        <v>30.836662860235961</v>
      </c>
      <c r="G53" s="7">
        <v>0.79126590677436526</v>
      </c>
      <c r="H53" s="28"/>
      <c r="I53" s="28"/>
      <c r="J53" s="28"/>
    </row>
    <row r="54" spans="1:10" x14ac:dyDescent="0.3">
      <c r="A54" s="6">
        <v>3.5</v>
      </c>
      <c r="B54" s="29">
        <v>450</v>
      </c>
      <c r="C54" s="29">
        <v>1.75</v>
      </c>
      <c r="D54" s="7">
        <v>14696.0859386548</v>
      </c>
      <c r="E54" s="7">
        <v>3027.9164563938398</v>
      </c>
      <c r="F54" s="7">
        <v>32.809711309322054</v>
      </c>
      <c r="G54" s="7">
        <v>0.82631361353698263</v>
      </c>
      <c r="H54" s="28"/>
      <c r="I54" s="28"/>
      <c r="J54" s="28"/>
    </row>
    <row r="55" spans="1:10" x14ac:dyDescent="0.3">
      <c r="A55" s="6">
        <v>4.0999999999999996</v>
      </c>
      <c r="B55" s="29">
        <v>650</v>
      </c>
      <c r="C55" s="29">
        <v>2</v>
      </c>
      <c r="D55" s="7">
        <v>17543.983768220623</v>
      </c>
      <c r="E55" s="7">
        <v>3468.8347203783542</v>
      </c>
      <c r="F55" s="7">
        <v>26.861069278214316</v>
      </c>
      <c r="G55" s="7">
        <v>0.69875218200838951</v>
      </c>
      <c r="H55" s="28"/>
      <c r="I55" s="28"/>
      <c r="J55" s="28"/>
    </row>
    <row r="56" spans="1:10" x14ac:dyDescent="0.3">
      <c r="A56" s="6">
        <v>4.2</v>
      </c>
      <c r="B56" s="29">
        <v>600</v>
      </c>
      <c r="C56" s="29">
        <v>2</v>
      </c>
      <c r="D56" s="7">
        <v>17007.334180378537</v>
      </c>
      <c r="E56" s="7">
        <v>3361.2872552344325</v>
      </c>
      <c r="F56" s="7">
        <v>28.333333333333332</v>
      </c>
      <c r="G56" s="7">
        <v>0.71764705882352942</v>
      </c>
      <c r="H56" s="28"/>
      <c r="I56" s="28"/>
      <c r="J56" s="28"/>
    </row>
    <row r="57" spans="1:10" x14ac:dyDescent="0.3">
      <c r="A57" s="6">
        <v>4.3</v>
      </c>
      <c r="B57" s="29">
        <v>550</v>
      </c>
      <c r="C57" s="29">
        <v>2</v>
      </c>
      <c r="D57" s="7">
        <v>16475.66219024115</v>
      </c>
      <c r="E57" s="7">
        <v>3262.6451085876179</v>
      </c>
      <c r="F57" s="7">
        <v>30.105078737406252</v>
      </c>
      <c r="G57" s="7">
        <v>0.73681315951041715</v>
      </c>
      <c r="H57" s="28"/>
      <c r="I57" s="28"/>
      <c r="J57" s="28"/>
    </row>
    <row r="58" spans="1:10" x14ac:dyDescent="0.3">
      <c r="A58" s="6">
        <v>4.4000000000000004</v>
      </c>
      <c r="B58" s="29">
        <v>500</v>
      </c>
      <c r="C58" s="29">
        <v>2</v>
      </c>
      <c r="D58" s="7">
        <v>15785.568694069267</v>
      </c>
      <c r="E58" s="7">
        <v>3119.2044574233514</v>
      </c>
      <c r="F58" s="7">
        <v>31.70341220702781</v>
      </c>
      <c r="G58" s="7">
        <v>0.76963324454366344</v>
      </c>
      <c r="H58" s="28"/>
      <c r="I58" s="28"/>
      <c r="J58" s="28"/>
    </row>
    <row r="59" spans="1:10" x14ac:dyDescent="0.3">
      <c r="A59" s="6">
        <v>4.5</v>
      </c>
      <c r="B59" s="29">
        <v>450</v>
      </c>
      <c r="C59" s="29">
        <v>2</v>
      </c>
      <c r="D59" s="7">
        <v>15098.271074105311</v>
      </c>
      <c r="E59" s="7">
        <v>2984.9919544959503</v>
      </c>
      <c r="F59" s="7">
        <v>33.695376889404088</v>
      </c>
      <c r="G59" s="7">
        <v>0.80459438694204144</v>
      </c>
      <c r="H59" s="28"/>
      <c r="I59" s="28"/>
      <c r="J59" s="28"/>
    </row>
    <row r="60" spans="1:10" x14ac:dyDescent="0.3">
      <c r="A60" s="6"/>
      <c r="B60" s="6"/>
      <c r="C60" s="6"/>
      <c r="D60" s="7"/>
      <c r="E60" s="7"/>
      <c r="F60" s="7"/>
      <c r="G60" s="7"/>
      <c r="H60" s="7"/>
      <c r="I60" s="7"/>
      <c r="J60" s="7"/>
    </row>
    <row r="61" spans="1:10" x14ac:dyDescent="0.3">
      <c r="A61" s="6"/>
      <c r="B61" s="6"/>
      <c r="C61" s="6"/>
      <c r="D61" s="7"/>
      <c r="E61" s="7"/>
      <c r="F61" s="7"/>
      <c r="G61" s="7"/>
      <c r="H61" s="7"/>
      <c r="I61" s="7"/>
      <c r="J61" s="7"/>
    </row>
    <row r="62" spans="1:10" x14ac:dyDescent="0.3">
      <c r="A62" s="6"/>
      <c r="B62" s="6"/>
      <c r="C62" s="6"/>
      <c r="D62" s="7"/>
      <c r="E62" s="7"/>
      <c r="F62" s="7"/>
      <c r="G62" s="7"/>
      <c r="H62" s="7"/>
      <c r="I62" s="7"/>
      <c r="J62" s="7"/>
    </row>
    <row r="63" spans="1:10" x14ac:dyDescent="0.3">
      <c r="A63" s="6"/>
      <c r="B63" s="6"/>
      <c r="C63" s="6"/>
      <c r="D63" s="7"/>
      <c r="E63" s="7"/>
      <c r="F63" s="7"/>
      <c r="G63" s="7"/>
      <c r="H63" s="7"/>
      <c r="I63" s="7"/>
      <c r="J63" s="7"/>
    </row>
    <row r="64" spans="1:10" x14ac:dyDescent="0.3">
      <c r="A64" s="6"/>
      <c r="B64" s="6"/>
      <c r="C64" s="6"/>
      <c r="D64" s="7"/>
      <c r="E64" s="7"/>
      <c r="F64" s="7"/>
      <c r="G64" s="7"/>
      <c r="H64" s="7"/>
      <c r="I64" s="7"/>
      <c r="J64" s="7"/>
    </row>
    <row r="65" spans="1:10" x14ac:dyDescent="0.3">
      <c r="A65" s="6"/>
      <c r="B65" s="7"/>
      <c r="C65" s="7"/>
      <c r="D65" s="7"/>
      <c r="E65" s="7"/>
      <c r="F65" s="7"/>
      <c r="G65" s="7"/>
      <c r="H65" s="7"/>
      <c r="I65" s="7"/>
      <c r="J65" s="7"/>
    </row>
    <row r="66" spans="1:10" x14ac:dyDescent="0.3">
      <c r="A66" s="6"/>
      <c r="B66" s="7"/>
      <c r="C66" s="7"/>
      <c r="D66" s="7"/>
      <c r="E66" s="7"/>
      <c r="F66" s="7"/>
      <c r="G66" s="7"/>
      <c r="H66" s="7"/>
      <c r="I66" s="7"/>
      <c r="J66" s="7"/>
    </row>
    <row r="67" spans="1:10" x14ac:dyDescent="0.3">
      <c r="A67" s="6"/>
      <c r="B67" s="7"/>
      <c r="C67" s="7"/>
      <c r="D67" s="7"/>
      <c r="E67" s="7"/>
      <c r="F67" s="7"/>
      <c r="G67" s="7"/>
      <c r="H67" s="7"/>
      <c r="I67" s="7"/>
      <c r="J67" s="7"/>
    </row>
    <row r="68" spans="1:10" x14ac:dyDescent="0.3">
      <c r="A68" s="6"/>
      <c r="B68" s="7"/>
      <c r="C68" s="7"/>
      <c r="D68" s="7"/>
      <c r="E68" s="7"/>
      <c r="F68" s="7"/>
      <c r="G68" s="7"/>
      <c r="H68" s="7"/>
      <c r="I68" s="7"/>
      <c r="J68" s="7"/>
    </row>
    <row r="69" spans="1:10" x14ac:dyDescent="0.3">
      <c r="A69" s="6"/>
      <c r="B69" s="7"/>
      <c r="C69" s="7"/>
      <c r="D69" s="7"/>
      <c r="E69" s="7"/>
      <c r="F69" s="7"/>
      <c r="G69" s="7"/>
      <c r="H69" s="7"/>
      <c r="I69" s="7"/>
      <c r="J69" s="7"/>
    </row>
    <row r="70" spans="1:10" x14ac:dyDescent="0.3">
      <c r="A70" s="6"/>
      <c r="B70" s="7"/>
      <c r="C70" s="7"/>
      <c r="D70" s="7"/>
      <c r="E70" s="7"/>
      <c r="F70" s="7"/>
      <c r="G70" s="7"/>
      <c r="H70" s="7"/>
      <c r="I70" s="7"/>
      <c r="J70" s="7"/>
    </row>
    <row r="71" spans="1:10" x14ac:dyDescent="0.3">
      <c r="A71" s="6"/>
      <c r="B71" s="7"/>
      <c r="C71" s="7"/>
      <c r="D71" s="7"/>
      <c r="E71" s="7"/>
      <c r="F71" s="7"/>
      <c r="G71" s="7"/>
      <c r="H71" s="7"/>
      <c r="I71" s="7"/>
      <c r="J71" s="7"/>
    </row>
    <row r="72" spans="1:10" x14ac:dyDescent="0.3">
      <c r="A72" s="6"/>
      <c r="B72" s="7"/>
      <c r="C72" s="7"/>
      <c r="D72" s="7"/>
      <c r="E72" s="7"/>
      <c r="F72" s="7"/>
      <c r="G72" s="7"/>
      <c r="H72" s="7"/>
      <c r="I72" s="7"/>
      <c r="J72" s="7"/>
    </row>
    <row r="73" spans="1:10" x14ac:dyDescent="0.3">
      <c r="A73" s="6"/>
      <c r="B73" s="7"/>
      <c r="C73" s="7"/>
      <c r="D73" s="7"/>
      <c r="E73" s="7"/>
      <c r="F73" s="7"/>
      <c r="G73" s="7"/>
      <c r="H73" s="7"/>
      <c r="I73" s="7"/>
      <c r="J73" s="7"/>
    </row>
    <row r="74" spans="1:10" x14ac:dyDescent="0.3">
      <c r="A74" s="6"/>
      <c r="B74" s="7"/>
      <c r="C74" s="7"/>
      <c r="D74" s="7"/>
      <c r="E74" s="7"/>
      <c r="F74" s="7"/>
      <c r="G74" s="7"/>
      <c r="H74" s="7"/>
      <c r="I74" s="7"/>
      <c r="J74" s="7"/>
    </row>
    <row r="75" spans="1:10" x14ac:dyDescent="0.3">
      <c r="A75" s="6"/>
      <c r="B75" s="7"/>
      <c r="C75" s="7"/>
      <c r="D75" s="7"/>
      <c r="E75" s="7"/>
      <c r="F75" s="7"/>
      <c r="G75" s="7"/>
      <c r="H75" s="7"/>
      <c r="I75" s="7"/>
      <c r="J75" s="7"/>
    </row>
    <row r="76" spans="1:10" x14ac:dyDescent="0.3">
      <c r="A76" s="6"/>
      <c r="B76" s="7"/>
      <c r="C76" s="7"/>
      <c r="D76" s="7"/>
      <c r="E76" s="7"/>
      <c r="F76" s="7"/>
      <c r="G76" s="7"/>
      <c r="H76" s="7"/>
      <c r="I76" s="7"/>
      <c r="J76" s="7"/>
    </row>
    <row r="77" spans="1:10" x14ac:dyDescent="0.3">
      <c r="A77" s="6"/>
      <c r="B77" s="7"/>
      <c r="C77" s="7"/>
      <c r="D77" s="7"/>
      <c r="E77" s="7"/>
      <c r="F77" s="7"/>
      <c r="G77" s="7"/>
      <c r="H77" s="7"/>
      <c r="I77" s="7"/>
      <c r="J77" s="7"/>
    </row>
    <row r="78" spans="1:10" x14ac:dyDescent="0.3">
      <c r="A78" s="6"/>
      <c r="B78" s="7"/>
      <c r="C78" s="7"/>
      <c r="D78" s="7"/>
      <c r="E78" s="7"/>
      <c r="F78" s="7"/>
      <c r="G78" s="7"/>
      <c r="H78" s="7"/>
      <c r="I78" s="7"/>
      <c r="J78" s="7"/>
    </row>
    <row r="79" spans="1:10" x14ac:dyDescent="0.3">
      <c r="A79" s="6"/>
      <c r="B79" s="7"/>
      <c r="C79" s="7"/>
      <c r="D79" s="7"/>
      <c r="E79" s="7"/>
      <c r="F79" s="7"/>
      <c r="G79" s="7"/>
      <c r="H79" s="7"/>
      <c r="I79" s="7"/>
      <c r="J79" s="7"/>
    </row>
    <row r="80" spans="1:10" x14ac:dyDescent="0.3">
      <c r="A80" s="6"/>
      <c r="B80" s="7"/>
      <c r="C80" s="7"/>
      <c r="D80" s="7"/>
      <c r="E80" s="7"/>
      <c r="F80" s="7"/>
      <c r="G80" s="7"/>
      <c r="H80" s="7"/>
      <c r="I80" s="7"/>
      <c r="J80" s="7"/>
    </row>
    <row r="81" spans="1:10" x14ac:dyDescent="0.3">
      <c r="A81" s="6"/>
      <c r="B81" s="7"/>
      <c r="C81" s="7"/>
      <c r="D81" s="7"/>
      <c r="E81" s="7"/>
      <c r="F81" s="7"/>
      <c r="G81" s="7"/>
      <c r="H81" s="7"/>
      <c r="I81" s="7"/>
      <c r="J81" s="7"/>
    </row>
    <row r="82" spans="1:10" x14ac:dyDescent="0.3">
      <c r="A82" s="6"/>
      <c r="B82" s="7"/>
      <c r="C82" s="7"/>
      <c r="D82" s="7"/>
      <c r="E82" s="7"/>
      <c r="F82" s="7"/>
      <c r="G82" s="7"/>
      <c r="H82" s="7"/>
      <c r="I82" s="7"/>
      <c r="J82" s="7"/>
    </row>
    <row r="83" spans="1:10" x14ac:dyDescent="0.3">
      <c r="A83" s="6"/>
      <c r="B83" s="7"/>
      <c r="C83" s="7"/>
      <c r="D83" s="7"/>
      <c r="E83" s="7"/>
      <c r="F83" s="7"/>
      <c r="G83" s="7"/>
      <c r="H83" s="7"/>
      <c r="I83" s="7"/>
      <c r="J83" s="7"/>
    </row>
    <row r="84" spans="1:10" x14ac:dyDescent="0.3">
      <c r="A84" s="6"/>
      <c r="B84" s="7"/>
      <c r="C84" s="7"/>
      <c r="D84" s="7"/>
      <c r="E84" s="7"/>
      <c r="F84" s="7"/>
      <c r="G84" s="7"/>
      <c r="H84" s="7"/>
      <c r="I84" s="7"/>
      <c r="J84" s="7"/>
    </row>
    <row r="85" spans="1:10" x14ac:dyDescent="0.3">
      <c r="A85" s="6"/>
      <c r="B85" s="7"/>
      <c r="C85" s="7"/>
      <c r="D85" s="7"/>
      <c r="E85" s="7"/>
      <c r="F85" s="7"/>
      <c r="G85" s="7"/>
      <c r="H85" s="7"/>
      <c r="I85" s="7"/>
      <c r="J85" s="7"/>
    </row>
    <row r="86" spans="1:10" x14ac:dyDescent="0.3">
      <c r="A86" s="6"/>
      <c r="B86" s="7"/>
      <c r="C86" s="7"/>
      <c r="D86" s="7"/>
      <c r="E86" s="7"/>
      <c r="F86" s="7"/>
      <c r="G86" s="7"/>
      <c r="H86" s="7"/>
      <c r="I86" s="7"/>
      <c r="J86" s="7"/>
    </row>
    <row r="87" spans="1:10" x14ac:dyDescent="0.3">
      <c r="A87" s="6"/>
      <c r="B87" s="7"/>
      <c r="C87" s="7"/>
      <c r="D87" s="7"/>
      <c r="E87" s="7"/>
      <c r="F87" s="7"/>
      <c r="G87" s="7"/>
      <c r="H87" s="7"/>
      <c r="I87" s="7"/>
      <c r="J87" s="7"/>
    </row>
    <row r="88" spans="1:10" x14ac:dyDescent="0.3">
      <c r="A88" s="6"/>
      <c r="B88" s="7"/>
      <c r="C88" s="7"/>
      <c r="D88" s="7"/>
      <c r="E88" s="7"/>
      <c r="F88" s="7"/>
      <c r="G88" s="7"/>
      <c r="H88" s="7"/>
      <c r="I88" s="7"/>
      <c r="J88" s="7"/>
    </row>
    <row r="89" spans="1:10" x14ac:dyDescent="0.3">
      <c r="A89" s="6"/>
      <c r="B89" s="7"/>
      <c r="C89" s="7"/>
      <c r="D89" s="7"/>
      <c r="E89" s="7"/>
      <c r="F89" s="7"/>
      <c r="G89" s="7"/>
      <c r="H89" s="7"/>
      <c r="I89" s="7"/>
      <c r="J89" s="7"/>
    </row>
    <row r="90" spans="1:10" x14ac:dyDescent="0.3">
      <c r="A90" s="6"/>
      <c r="B90" s="7"/>
      <c r="C90" s="7"/>
      <c r="D90" s="7"/>
      <c r="E90" s="7"/>
      <c r="F90" s="7"/>
      <c r="G90" s="7"/>
      <c r="H90" s="7"/>
      <c r="I90" s="7"/>
      <c r="J90" s="7"/>
    </row>
    <row r="91" spans="1:10" x14ac:dyDescent="0.3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spans="1:10" x14ac:dyDescent="0.3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spans="1:10" x14ac:dyDescent="0.3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spans="1:10" x14ac:dyDescent="0.3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spans="1:10" x14ac:dyDescent="0.3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spans="1:10" x14ac:dyDescent="0.3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spans="1:10" x14ac:dyDescent="0.3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spans="1:10" x14ac:dyDescent="0.3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spans="1:10" x14ac:dyDescent="0.3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spans="1:10" x14ac:dyDescent="0.3">
      <c r="A100" s="7"/>
      <c r="B100" s="7"/>
      <c r="C100" s="7"/>
      <c r="D100" s="7"/>
      <c r="E100" s="7"/>
      <c r="F100" s="7"/>
      <c r="G100" s="7"/>
      <c r="H100" s="7"/>
      <c r="I100" s="7"/>
      <c r="J100" s="7"/>
    </row>
  </sheetData>
  <mergeCells count="6">
    <mergeCell ref="A3:D3"/>
    <mergeCell ref="A21:D21"/>
    <mergeCell ref="A32:B32"/>
    <mergeCell ref="A37:J37"/>
    <mergeCell ref="D38:E38"/>
    <mergeCell ref="F38:J38"/>
  </mergeCells>
  <pageMargins left="0.7" right="0.7" top="0.75" bottom="0.75" header="0.3" footer="0.3"/>
  <pageSetup orientation="portrait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666F9-D330-463D-818D-3E6D83E86542}">
  <dimension ref="A1:K48"/>
  <sheetViews>
    <sheetView topLeftCell="A31" workbookViewId="0">
      <selection activeCell="B10" sqref="B10"/>
    </sheetView>
  </sheetViews>
  <sheetFormatPr defaultRowHeight="14.4" x14ac:dyDescent="0.3"/>
  <cols>
    <col min="1" max="1" width="36" bestFit="1" customWidth="1"/>
    <col min="2" max="2" width="16" customWidth="1"/>
    <col min="3" max="3" width="15.44140625" customWidth="1"/>
    <col min="4" max="5" width="15.77734375" customWidth="1"/>
    <col min="6" max="6" width="17" customWidth="1"/>
    <col min="7" max="7" width="16.77734375" customWidth="1"/>
    <col min="8" max="9" width="10.77734375" customWidth="1"/>
    <col min="10" max="10" width="34.109375" customWidth="1"/>
  </cols>
  <sheetData>
    <row r="1" spans="1:6" s="24" customFormat="1" ht="25.8" x14ac:dyDescent="0.5">
      <c r="A1" s="24" t="s">
        <v>55</v>
      </c>
    </row>
    <row r="3" spans="1:6" s="3" customFormat="1" ht="21" x14ac:dyDescent="0.4">
      <c r="A3" s="30" t="s">
        <v>27</v>
      </c>
      <c r="B3" s="30"/>
      <c r="C3" s="30"/>
      <c r="D3" s="30"/>
      <c r="E3" s="25"/>
    </row>
    <row r="4" spans="1:6" s="3" customFormat="1" x14ac:dyDescent="0.3">
      <c r="A4" s="16" t="s">
        <v>41</v>
      </c>
      <c r="B4" s="16" t="s">
        <v>56</v>
      </c>
      <c r="C4" s="16" t="s">
        <v>57</v>
      </c>
      <c r="D4" s="16" t="s">
        <v>58</v>
      </c>
      <c r="E4" s="16"/>
      <c r="F4" s="16"/>
    </row>
    <row r="5" spans="1:6" x14ac:dyDescent="0.3">
      <c r="A5" t="s">
        <v>54</v>
      </c>
      <c r="B5" s="17">
        <v>35000</v>
      </c>
      <c r="C5" s="17">
        <v>0</v>
      </c>
      <c r="D5" s="17">
        <v>0</v>
      </c>
      <c r="E5" s="17"/>
      <c r="F5" s="17"/>
    </row>
    <row r="6" spans="1:6" x14ac:dyDescent="0.3">
      <c r="A6" t="s">
        <v>40</v>
      </c>
      <c r="B6" s="17" cm="1">
        <f t="array" ref="B6">_xlfn.XLOOKUP(B$5,STDATM!$A$3:$A$203,STDATM!$D$3:$D$203,NA,0,1)</f>
        <v>7.3662700000000001E-4</v>
      </c>
      <c r="C6" s="17" cm="1">
        <f t="array" ref="C6">_xlfn.XLOOKUP(C$5,STDATM!$A$3:$A$203,STDATM!$D$3:$D$203,NA,0,1)</f>
        <v>2.3771700000000001E-3</v>
      </c>
      <c r="D6" s="17" cm="1">
        <f t="array" ref="D6">_xlfn.XLOOKUP(D$5,STDATM!$A$3:$A$203,STDATM!$D$3:$D$203,NA,0,1)</f>
        <v>2.3771700000000001E-3</v>
      </c>
      <c r="E6" s="17"/>
      <c r="F6" s="17"/>
    </row>
    <row r="7" spans="1:6" x14ac:dyDescent="0.3">
      <c r="A7" t="s">
        <v>53</v>
      </c>
      <c r="B7" s="17" cm="1">
        <f t="array" ref="B7">_xlfn.XLOOKUP(B$5,STDATM!$A$3:$A$203,STDATM!$F$3:$F$203,NA,0,1)</f>
        <v>3.0168100000000001E-7</v>
      </c>
      <c r="C7" s="17" cm="1">
        <f t="array" ref="C7">_xlfn.XLOOKUP(C$5,STDATM!$A$3:$A$203,STDATM!$F$3:$F$203,NA,0,1)</f>
        <v>3.7845600000000001E-7</v>
      </c>
      <c r="D7" s="17" cm="1">
        <f t="array" ref="D7">_xlfn.XLOOKUP(D$5,STDATM!$A$3:$A$203,STDATM!$F$3:$F$203,NA,0,1)</f>
        <v>3.7845600000000001E-7</v>
      </c>
      <c r="E7" s="17"/>
    </row>
    <row r="8" spans="1:6" x14ac:dyDescent="0.3">
      <c r="A8" t="s">
        <v>39</v>
      </c>
      <c r="B8" s="17" cm="1">
        <f t="array" ref="B8">_xlfn.XLOOKUP(B$5,STDATM!$A$3:$A$203,STDATM!$E$3:$E$203,NA,0,1)</f>
        <v>972.88499999999999</v>
      </c>
      <c r="C8" s="17" cm="1">
        <f t="array" ref="C8">_xlfn.XLOOKUP(C$5,STDATM!$A$3:$A$203,STDATM!$E$3:$E$203,NA,0,1)</f>
        <v>1116.45</v>
      </c>
      <c r="D8" s="17" cm="1">
        <f t="array" ref="D8">_xlfn.XLOOKUP(D$5,STDATM!$A$3:$A$203,STDATM!$E$3:$E$203,NA,0,1)</f>
        <v>1116.45</v>
      </c>
      <c r="E8" s="17"/>
    </row>
    <row r="9" spans="1:6" x14ac:dyDescent="0.3">
      <c r="A9" t="s">
        <v>37</v>
      </c>
      <c r="B9" s="17">
        <v>0.75</v>
      </c>
      <c r="C9" s="17">
        <v>1.05</v>
      </c>
      <c r="D9" s="17">
        <v>2</v>
      </c>
      <c r="E9" s="17"/>
    </row>
    <row r="10" spans="1:6" x14ac:dyDescent="0.3">
      <c r="A10" s="1" t="s">
        <v>38</v>
      </c>
      <c r="B10" s="18">
        <f>B9*B$8</f>
        <v>729.66374999999994</v>
      </c>
      <c r="C10" s="18">
        <f t="shared" ref="C10:D10" si="0">C9*C$8</f>
        <v>1172.2725</v>
      </c>
      <c r="D10" s="18">
        <f t="shared" si="0"/>
        <v>2232.9</v>
      </c>
      <c r="E10" s="18"/>
    </row>
    <row r="11" spans="1:6" x14ac:dyDescent="0.3">
      <c r="A11" s="1" t="s">
        <v>0</v>
      </c>
      <c r="B11" s="19" t="e">
        <f>(B6*B10*$B$27)/B7</f>
        <v>#VALUE!</v>
      </c>
      <c r="C11" s="19" t="e">
        <f t="shared" ref="C11:D11" si="1">(C6*C10*$B$27)/C7</f>
        <v>#VALUE!</v>
      </c>
      <c r="D11" s="19" t="e">
        <f t="shared" si="1"/>
        <v>#VALUE!</v>
      </c>
      <c r="E11" s="19"/>
    </row>
    <row r="12" spans="1:6" x14ac:dyDescent="0.3">
      <c r="A12" t="s">
        <v>35</v>
      </c>
      <c r="B12" s="20" t="s">
        <v>36</v>
      </c>
      <c r="C12" s="20" t="s">
        <v>36</v>
      </c>
      <c r="D12" s="20" t="s">
        <v>36</v>
      </c>
      <c r="E12" s="20"/>
    </row>
    <row r="14" spans="1:6" s="4" customFormat="1" ht="21" x14ac:dyDescent="0.4">
      <c r="A14" s="15" t="s">
        <v>34</v>
      </c>
      <c r="B14" s="15"/>
      <c r="C14" s="15"/>
      <c r="D14" s="15"/>
      <c r="E14" s="15"/>
    </row>
    <row r="15" spans="1:6" x14ac:dyDescent="0.3">
      <c r="A15" t="s">
        <v>32</v>
      </c>
      <c r="B15" s="11" t="s">
        <v>33</v>
      </c>
      <c r="C15" t="s">
        <v>19</v>
      </c>
    </row>
    <row r="16" spans="1:6" x14ac:dyDescent="0.3">
      <c r="A16" t="s">
        <v>29</v>
      </c>
      <c r="B16" s="11"/>
    </row>
    <row r="17" spans="1:5" x14ac:dyDescent="0.3">
      <c r="A17" t="s">
        <v>30</v>
      </c>
      <c r="B17" s="11"/>
    </row>
    <row r="18" spans="1:5" x14ac:dyDescent="0.3">
      <c r="A18" t="s">
        <v>31</v>
      </c>
      <c r="B18" s="11"/>
    </row>
    <row r="19" spans="1:5" x14ac:dyDescent="0.3">
      <c r="A19" t="s">
        <v>42</v>
      </c>
      <c r="B19" s="11"/>
    </row>
    <row r="21" spans="1:5" s="5" customFormat="1" ht="21" x14ac:dyDescent="0.4">
      <c r="A21" s="31" t="s">
        <v>28</v>
      </c>
      <c r="B21" s="31"/>
      <c r="C21" s="31"/>
      <c r="D21" s="31"/>
      <c r="E21" s="26"/>
    </row>
    <row r="22" spans="1:5" x14ac:dyDescent="0.3">
      <c r="A22" t="s">
        <v>69</v>
      </c>
      <c r="B22" s="17" t="s">
        <v>78</v>
      </c>
      <c r="C22" s="17" t="s">
        <v>11</v>
      </c>
    </row>
    <row r="23" spans="1:5" x14ac:dyDescent="0.3">
      <c r="A23" t="s">
        <v>3</v>
      </c>
      <c r="B23" s="17">
        <v>0.35</v>
      </c>
      <c r="C23" s="17"/>
    </row>
    <row r="24" spans="1:5" x14ac:dyDescent="0.3">
      <c r="A24" t="s">
        <v>6</v>
      </c>
      <c r="B24" s="17">
        <v>0.3</v>
      </c>
      <c r="C24" s="17" t="s">
        <v>70</v>
      </c>
    </row>
    <row r="25" spans="1:5" x14ac:dyDescent="0.3">
      <c r="A25" t="s">
        <v>7</v>
      </c>
      <c r="B25" s="17">
        <v>0</v>
      </c>
      <c r="C25" s="17" t="s">
        <v>11</v>
      </c>
    </row>
    <row r="26" spans="1:5" x14ac:dyDescent="0.3">
      <c r="A26" t="s">
        <v>8</v>
      </c>
      <c r="B26" s="17">
        <v>0</v>
      </c>
      <c r="C26" s="17" t="s">
        <v>11</v>
      </c>
    </row>
    <row r="27" spans="1:5" x14ac:dyDescent="0.3">
      <c r="A27" t="s">
        <v>71</v>
      </c>
      <c r="B27" s="17" t="s">
        <v>78</v>
      </c>
      <c r="C27" s="17" t="s">
        <v>67</v>
      </c>
    </row>
    <row r="28" spans="1:5" x14ac:dyDescent="0.3">
      <c r="A28" t="s">
        <v>74</v>
      </c>
      <c r="B28" s="17">
        <v>450</v>
      </c>
      <c r="C28" s="17" t="s">
        <v>76</v>
      </c>
    </row>
    <row r="29" spans="1:5" x14ac:dyDescent="0.3">
      <c r="A29" t="s">
        <v>75</v>
      </c>
      <c r="B29" s="17">
        <v>1000</v>
      </c>
      <c r="C29" s="17" t="s">
        <v>76</v>
      </c>
    </row>
    <row r="30" spans="1:5" x14ac:dyDescent="0.3">
      <c r="A30" t="s">
        <v>77</v>
      </c>
      <c r="B30" s="17">
        <v>12200</v>
      </c>
      <c r="C30" s="17" t="s">
        <v>76</v>
      </c>
    </row>
    <row r="32" spans="1:5" s="10" customFormat="1" ht="21" x14ac:dyDescent="0.4">
      <c r="A32" s="32" t="s">
        <v>25</v>
      </c>
      <c r="B32" s="32"/>
    </row>
    <row r="33" spans="1:11" x14ac:dyDescent="0.3">
      <c r="A33" t="s">
        <v>22</v>
      </c>
      <c r="B33" t="s">
        <v>21</v>
      </c>
    </row>
    <row r="34" spans="1:11" x14ac:dyDescent="0.3">
      <c r="A34" t="s">
        <v>23</v>
      </c>
      <c r="B34" t="s">
        <v>17</v>
      </c>
    </row>
    <row r="35" spans="1:11" x14ac:dyDescent="0.3">
      <c r="A35" t="s">
        <v>24</v>
      </c>
      <c r="B35" t="s">
        <v>16</v>
      </c>
    </row>
    <row r="37" spans="1:11" s="9" customFormat="1" ht="21" x14ac:dyDescent="0.4">
      <c r="A37" s="33" t="s">
        <v>15</v>
      </c>
      <c r="B37" s="33"/>
      <c r="C37" s="33"/>
      <c r="D37" s="33"/>
      <c r="E37" s="33"/>
      <c r="F37" s="33"/>
      <c r="G37" s="33"/>
      <c r="H37" s="33"/>
      <c r="I37" s="33"/>
      <c r="J37" s="33"/>
    </row>
    <row r="38" spans="1:11" ht="58.05" customHeight="1" x14ac:dyDescent="0.3">
      <c r="A38" s="8"/>
      <c r="B38" s="8" t="s">
        <v>1</v>
      </c>
      <c r="C38" s="12" t="s">
        <v>26</v>
      </c>
      <c r="D38" s="34" t="s">
        <v>60</v>
      </c>
      <c r="E38" s="35"/>
      <c r="F38" s="36" t="s">
        <v>61</v>
      </c>
      <c r="G38" s="37"/>
      <c r="H38" s="37"/>
      <c r="I38" s="37"/>
      <c r="J38" s="38"/>
      <c r="K38" s="2"/>
    </row>
    <row r="39" spans="1:11" x14ac:dyDescent="0.3">
      <c r="A39" s="8" t="s">
        <v>2</v>
      </c>
      <c r="B39" s="13"/>
      <c r="C39" s="13"/>
      <c r="D39" s="14" t="s">
        <v>4</v>
      </c>
      <c r="E39" s="14" t="s">
        <v>59</v>
      </c>
      <c r="F39" s="27" t="s">
        <v>63</v>
      </c>
      <c r="G39" s="27" t="s">
        <v>64</v>
      </c>
      <c r="H39" s="27" t="s">
        <v>66</v>
      </c>
      <c r="I39" s="27" t="s">
        <v>65</v>
      </c>
      <c r="J39" s="27" t="s">
        <v>62</v>
      </c>
    </row>
    <row r="40" spans="1:11" x14ac:dyDescent="0.3">
      <c r="A40" s="6"/>
      <c r="B40" s="6"/>
      <c r="C40" s="6"/>
      <c r="D40" s="7"/>
      <c r="E40" s="7"/>
      <c r="F40" s="7"/>
      <c r="G40" s="7"/>
      <c r="H40" s="7"/>
      <c r="I40" s="7"/>
      <c r="J40" s="7"/>
    </row>
    <row r="41" spans="1:11" x14ac:dyDescent="0.3">
      <c r="A41" s="6"/>
      <c r="B41" s="6"/>
      <c r="C41" s="6"/>
      <c r="D41" s="7"/>
      <c r="E41" s="7"/>
      <c r="F41" s="7"/>
      <c r="G41" s="7"/>
      <c r="H41" s="7"/>
      <c r="I41" s="7"/>
      <c r="J41" s="7"/>
    </row>
    <row r="42" spans="1:11" x14ac:dyDescent="0.3">
      <c r="A42" s="6"/>
      <c r="B42" s="6"/>
      <c r="C42" s="6"/>
      <c r="D42" s="7"/>
      <c r="E42" s="7"/>
      <c r="F42" s="7"/>
      <c r="G42" s="7"/>
      <c r="H42" s="7"/>
      <c r="I42" s="7"/>
      <c r="J42" s="7"/>
    </row>
    <row r="43" spans="1:11" x14ac:dyDescent="0.3">
      <c r="A43" s="6"/>
      <c r="B43" s="6"/>
      <c r="C43" s="6"/>
      <c r="D43" s="7"/>
      <c r="E43" s="7"/>
      <c r="F43" s="7"/>
      <c r="G43" s="7"/>
      <c r="H43" s="7"/>
      <c r="I43" s="7"/>
      <c r="J43" s="7"/>
    </row>
    <row r="44" spans="1:11" x14ac:dyDescent="0.3">
      <c r="A44" s="6"/>
      <c r="B44" s="6"/>
      <c r="C44" s="6"/>
      <c r="D44" s="7"/>
      <c r="E44" s="7"/>
      <c r="F44" s="7"/>
      <c r="G44" s="7"/>
      <c r="H44" s="7"/>
      <c r="I44" s="7"/>
      <c r="J44" s="7"/>
    </row>
    <row r="45" spans="1:11" x14ac:dyDescent="0.3">
      <c r="A45" s="6"/>
      <c r="B45" s="6"/>
      <c r="C45" s="6"/>
      <c r="D45" s="7"/>
      <c r="E45" s="7"/>
      <c r="F45" s="7"/>
      <c r="G45" s="7"/>
      <c r="H45" s="7"/>
      <c r="I45" s="7"/>
      <c r="J45" s="7"/>
    </row>
    <row r="46" spans="1:11" x14ac:dyDescent="0.3">
      <c r="A46" s="6"/>
      <c r="B46" s="6"/>
      <c r="C46" s="6"/>
      <c r="D46" s="7"/>
      <c r="E46" s="7"/>
      <c r="F46" s="7"/>
      <c r="G46" s="7"/>
      <c r="H46" s="7"/>
      <c r="I46" s="7"/>
      <c r="J46" s="7"/>
    </row>
    <row r="47" spans="1:11" x14ac:dyDescent="0.3">
      <c r="A47" s="6"/>
      <c r="B47" s="6"/>
      <c r="C47" s="6"/>
      <c r="D47" s="7"/>
      <c r="E47" s="7"/>
      <c r="F47" s="7"/>
      <c r="G47" s="7"/>
      <c r="H47" s="7"/>
      <c r="I47" s="7"/>
      <c r="J47" s="7"/>
    </row>
    <row r="48" spans="1:11" x14ac:dyDescent="0.3">
      <c r="A48" s="6"/>
      <c r="B48" s="6"/>
      <c r="C48" s="6"/>
      <c r="D48" s="7"/>
      <c r="E48" s="7"/>
      <c r="F48" s="7"/>
      <c r="G48" s="7"/>
      <c r="H48" s="7"/>
      <c r="I48" s="7"/>
      <c r="J48" s="7"/>
    </row>
  </sheetData>
  <mergeCells count="6">
    <mergeCell ref="A3:D3"/>
    <mergeCell ref="A21:D21"/>
    <mergeCell ref="A32:B32"/>
    <mergeCell ref="A37:J37"/>
    <mergeCell ref="D38:E38"/>
    <mergeCell ref="F38:J38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5ECD-CAA3-4E00-9153-57A4C1F8E5AD}">
  <dimension ref="A1:K48"/>
  <sheetViews>
    <sheetView topLeftCell="A8" workbookViewId="0">
      <selection activeCell="C27" sqref="C27"/>
    </sheetView>
  </sheetViews>
  <sheetFormatPr defaultRowHeight="14.4" x14ac:dyDescent="0.3"/>
  <cols>
    <col min="1" max="1" width="36" bestFit="1" customWidth="1"/>
    <col min="2" max="2" width="16" customWidth="1"/>
    <col min="3" max="3" width="15.44140625" customWidth="1"/>
    <col min="4" max="5" width="15.77734375" customWidth="1"/>
    <col min="6" max="6" width="17" customWidth="1"/>
    <col min="7" max="7" width="16.77734375" customWidth="1"/>
    <col min="8" max="9" width="10.77734375" customWidth="1"/>
    <col min="10" max="10" width="34.109375" customWidth="1"/>
  </cols>
  <sheetData>
    <row r="1" spans="1:6" s="24" customFormat="1" ht="25.8" x14ac:dyDescent="0.5">
      <c r="A1" s="24" t="s">
        <v>55</v>
      </c>
    </row>
    <row r="3" spans="1:6" s="3" customFormat="1" ht="21" x14ac:dyDescent="0.4">
      <c r="A3" s="30" t="s">
        <v>27</v>
      </c>
      <c r="B3" s="30"/>
      <c r="C3" s="30"/>
      <c r="D3" s="30"/>
      <c r="E3" s="25"/>
    </row>
    <row r="4" spans="1:6" s="3" customFormat="1" x14ac:dyDescent="0.3">
      <c r="A4" s="16" t="s">
        <v>41</v>
      </c>
      <c r="B4" s="16" t="s">
        <v>56</v>
      </c>
      <c r="C4" s="16" t="s">
        <v>57</v>
      </c>
      <c r="D4" s="16" t="s">
        <v>58</v>
      </c>
      <c r="E4" s="16"/>
      <c r="F4" s="16"/>
    </row>
    <row r="5" spans="1:6" x14ac:dyDescent="0.3">
      <c r="A5" t="s">
        <v>54</v>
      </c>
      <c r="B5" s="17">
        <v>0</v>
      </c>
      <c r="C5" s="17">
        <v>0</v>
      </c>
      <c r="D5" s="17">
        <v>0</v>
      </c>
      <c r="E5" s="17"/>
      <c r="F5" s="17"/>
    </row>
    <row r="6" spans="1:6" x14ac:dyDescent="0.3">
      <c r="A6" t="s">
        <v>40</v>
      </c>
      <c r="B6" s="17" cm="1">
        <f t="array" ref="B6">_xlfn.XLOOKUP(B$5,STDATM!$A$3:$A$203,STDATM!$D$3:$D$203,NA,0,1)</f>
        <v>2.3771700000000001E-3</v>
      </c>
      <c r="C6" s="17" cm="1">
        <f t="array" ref="C6">_xlfn.XLOOKUP(C$5,STDATM!$A$3:$A$203,STDATM!$D$3:$D$203,NA,0,1)</f>
        <v>2.3771700000000001E-3</v>
      </c>
      <c r="D6" s="17" cm="1">
        <f t="array" ref="D6">_xlfn.XLOOKUP(D$5,STDATM!$A$3:$A$203,STDATM!$D$3:$D$203,NA,0,1)</f>
        <v>2.3771700000000001E-3</v>
      </c>
      <c r="E6" s="17"/>
      <c r="F6" s="17"/>
    </row>
    <row r="7" spans="1:6" x14ac:dyDescent="0.3">
      <c r="A7" t="s">
        <v>53</v>
      </c>
      <c r="B7" s="17" cm="1">
        <f t="array" ref="B7">_xlfn.XLOOKUP(B$5,STDATM!$A$3:$A$203,STDATM!$F$3:$F$203,NA,0,1)</f>
        <v>3.7845600000000001E-7</v>
      </c>
      <c r="C7" s="17" cm="1">
        <f t="array" ref="C7">_xlfn.XLOOKUP(C$5,STDATM!$A$3:$A$203,STDATM!$F$3:$F$203,NA,0,1)</f>
        <v>3.7845600000000001E-7</v>
      </c>
      <c r="D7" s="17" cm="1">
        <f t="array" ref="D7">_xlfn.XLOOKUP(D$5,STDATM!$A$3:$A$203,STDATM!$F$3:$F$203,NA,0,1)</f>
        <v>3.7845600000000001E-7</v>
      </c>
      <c r="E7" s="17"/>
    </row>
    <row r="8" spans="1:6" x14ac:dyDescent="0.3">
      <c r="A8" t="s">
        <v>39</v>
      </c>
      <c r="B8" s="17" cm="1">
        <f t="array" ref="B8">_xlfn.XLOOKUP(B$5,STDATM!$A$3:$A$203,STDATM!$E$3:$E$203,NA,0,1)</f>
        <v>1116.45</v>
      </c>
      <c r="C8" s="17" cm="1">
        <f t="array" ref="C8">_xlfn.XLOOKUP(C$5,STDATM!$A$3:$A$203,STDATM!$E$3:$E$203,NA,0,1)</f>
        <v>1116.45</v>
      </c>
      <c r="D8" s="17" cm="1">
        <f t="array" ref="D8">_xlfn.XLOOKUP(D$5,STDATM!$A$3:$A$203,STDATM!$E$3:$E$203,NA,0,1)</f>
        <v>1116.45</v>
      </c>
      <c r="E8" s="17"/>
    </row>
    <row r="9" spans="1:6" x14ac:dyDescent="0.3">
      <c r="A9" t="s">
        <v>37</v>
      </c>
      <c r="B9" s="17">
        <v>0.5</v>
      </c>
      <c r="C9" s="17">
        <v>1.05</v>
      </c>
      <c r="D9" s="17">
        <v>2</v>
      </c>
      <c r="E9" s="17"/>
    </row>
    <row r="10" spans="1:6" x14ac:dyDescent="0.3">
      <c r="A10" s="1" t="s">
        <v>38</v>
      </c>
      <c r="B10" s="18">
        <f>B9*B$8</f>
        <v>558.22500000000002</v>
      </c>
      <c r="C10" s="18">
        <f t="shared" ref="C10:D10" si="0">C9*C$8</f>
        <v>1172.2725</v>
      </c>
      <c r="D10" s="18">
        <f t="shared" si="0"/>
        <v>2232.9</v>
      </c>
      <c r="E10" s="18"/>
    </row>
    <row r="11" spans="1:6" x14ac:dyDescent="0.3">
      <c r="A11" s="1" t="s">
        <v>0</v>
      </c>
      <c r="B11" s="19">
        <f>(B6*B10*$B$27)/B7</f>
        <v>123984211.5704864</v>
      </c>
      <c r="C11" s="19">
        <f t="shared" ref="C11:D11" si="1">(C6*C10*$B$27)/C7</f>
        <v>260366844.29802141</v>
      </c>
      <c r="D11" s="19">
        <f t="shared" si="1"/>
        <v>495936846.28194559</v>
      </c>
      <c r="E11" s="19"/>
    </row>
    <row r="12" spans="1:6" x14ac:dyDescent="0.3">
      <c r="A12" t="s">
        <v>35</v>
      </c>
      <c r="B12" s="20" t="s">
        <v>36</v>
      </c>
      <c r="C12" s="20" t="s">
        <v>36</v>
      </c>
      <c r="D12" s="20" t="s">
        <v>36</v>
      </c>
      <c r="E12" s="20"/>
    </row>
    <row r="14" spans="1:6" s="4" customFormat="1" ht="21" x14ac:dyDescent="0.4">
      <c r="A14" s="15" t="s">
        <v>34</v>
      </c>
      <c r="B14" s="15"/>
      <c r="C14" s="15"/>
      <c r="D14" s="15"/>
      <c r="E14" s="15"/>
    </row>
    <row r="15" spans="1:6" x14ac:dyDescent="0.3">
      <c r="A15" t="s">
        <v>32</v>
      </c>
      <c r="B15" s="11" t="s">
        <v>33</v>
      </c>
      <c r="C15" t="s">
        <v>19</v>
      </c>
    </row>
    <row r="16" spans="1:6" x14ac:dyDescent="0.3">
      <c r="A16" t="s">
        <v>29</v>
      </c>
      <c r="B16" s="11"/>
    </row>
    <row r="17" spans="1:5" x14ac:dyDescent="0.3">
      <c r="A17" t="s">
        <v>30</v>
      </c>
      <c r="B17" s="11"/>
    </row>
    <row r="18" spans="1:5" x14ac:dyDescent="0.3">
      <c r="A18" t="s">
        <v>31</v>
      </c>
      <c r="B18" s="11"/>
    </row>
    <row r="19" spans="1:5" x14ac:dyDescent="0.3">
      <c r="A19" t="s">
        <v>42</v>
      </c>
      <c r="B19" s="11"/>
    </row>
    <row r="21" spans="1:5" s="5" customFormat="1" ht="21" x14ac:dyDescent="0.4">
      <c r="A21" s="31" t="s">
        <v>28</v>
      </c>
      <c r="B21" s="31"/>
      <c r="C21" s="31"/>
      <c r="D21" s="31"/>
      <c r="E21" s="26"/>
    </row>
    <row r="22" spans="1:5" x14ac:dyDescent="0.3">
      <c r="A22" t="s">
        <v>5</v>
      </c>
      <c r="B22" s="17">
        <v>2500</v>
      </c>
      <c r="C22" s="17" t="s">
        <v>10</v>
      </c>
    </row>
    <row r="23" spans="1:5" x14ac:dyDescent="0.3">
      <c r="A23" t="s">
        <v>3</v>
      </c>
      <c r="B23" s="17">
        <v>0.1</v>
      </c>
      <c r="C23" s="17"/>
    </row>
    <row r="24" spans="1:5" x14ac:dyDescent="0.3">
      <c r="A24" t="s">
        <v>6</v>
      </c>
      <c r="B24" s="17">
        <v>0.04</v>
      </c>
      <c r="C24" s="17" t="s">
        <v>9</v>
      </c>
    </row>
    <row r="25" spans="1:5" x14ac:dyDescent="0.3">
      <c r="A25" t="s">
        <v>7</v>
      </c>
      <c r="B25" s="17">
        <v>0</v>
      </c>
      <c r="C25" s="17" t="s">
        <v>11</v>
      </c>
    </row>
    <row r="26" spans="1:5" x14ac:dyDescent="0.3">
      <c r="A26" t="s">
        <v>8</v>
      </c>
      <c r="B26" s="17">
        <v>0</v>
      </c>
      <c r="C26" s="17" t="s">
        <v>11</v>
      </c>
    </row>
    <row r="27" spans="1:5" x14ac:dyDescent="0.3">
      <c r="A27" t="s">
        <v>14</v>
      </c>
      <c r="B27" s="17">
        <v>35.36</v>
      </c>
      <c r="C27" s="17" t="s">
        <v>67</v>
      </c>
      <c r="D27" t="s">
        <v>20</v>
      </c>
    </row>
    <row r="28" spans="1:5" x14ac:dyDescent="0.3">
      <c r="A28" t="s">
        <v>18</v>
      </c>
    </row>
    <row r="29" spans="1:5" x14ac:dyDescent="0.3">
      <c r="A29" s="2"/>
    </row>
    <row r="30" spans="1:5" x14ac:dyDescent="0.3">
      <c r="A30" s="2"/>
    </row>
    <row r="32" spans="1:5" s="10" customFormat="1" ht="21" x14ac:dyDescent="0.4">
      <c r="A32" s="32" t="s">
        <v>25</v>
      </c>
      <c r="B32" s="32"/>
    </row>
    <row r="33" spans="1:11" x14ac:dyDescent="0.3">
      <c r="A33" t="s">
        <v>22</v>
      </c>
      <c r="B33" t="s">
        <v>21</v>
      </c>
    </row>
    <row r="34" spans="1:11" x14ac:dyDescent="0.3">
      <c r="A34" t="s">
        <v>23</v>
      </c>
      <c r="B34" t="s">
        <v>17</v>
      </c>
    </row>
    <row r="35" spans="1:11" x14ac:dyDescent="0.3">
      <c r="A35" t="s">
        <v>24</v>
      </c>
      <c r="B35" t="s">
        <v>16</v>
      </c>
    </row>
    <row r="37" spans="1:11" s="9" customFormat="1" ht="21" x14ac:dyDescent="0.4">
      <c r="A37" s="33" t="s">
        <v>15</v>
      </c>
      <c r="B37" s="33"/>
      <c r="C37" s="33"/>
      <c r="D37" s="33"/>
      <c r="E37" s="33"/>
      <c r="F37" s="33"/>
      <c r="G37" s="33"/>
      <c r="H37" s="33"/>
      <c r="I37" s="33"/>
      <c r="J37" s="33"/>
    </row>
    <row r="38" spans="1:11" ht="58.05" customHeight="1" x14ac:dyDescent="0.3">
      <c r="A38" s="8"/>
      <c r="B38" s="8" t="s">
        <v>1</v>
      </c>
      <c r="C38" s="12" t="s">
        <v>26</v>
      </c>
      <c r="D38" s="34" t="s">
        <v>60</v>
      </c>
      <c r="E38" s="35"/>
      <c r="F38" s="36" t="s">
        <v>61</v>
      </c>
      <c r="G38" s="37"/>
      <c r="H38" s="37"/>
      <c r="I38" s="37"/>
      <c r="J38" s="38"/>
      <c r="K38" s="2"/>
    </row>
    <row r="39" spans="1:11" x14ac:dyDescent="0.3">
      <c r="A39" s="8" t="s">
        <v>2</v>
      </c>
      <c r="B39" s="13"/>
      <c r="C39" s="13"/>
      <c r="D39" s="14" t="s">
        <v>4</v>
      </c>
      <c r="E39" s="14" t="s">
        <v>59</v>
      </c>
      <c r="F39" s="27" t="s">
        <v>63</v>
      </c>
      <c r="G39" s="27" t="s">
        <v>64</v>
      </c>
      <c r="H39" s="27" t="s">
        <v>66</v>
      </c>
      <c r="I39" s="27" t="s">
        <v>65</v>
      </c>
      <c r="J39" s="27" t="s">
        <v>62</v>
      </c>
    </row>
    <row r="40" spans="1:11" x14ac:dyDescent="0.3">
      <c r="A40" s="6"/>
      <c r="B40" s="6"/>
      <c r="C40" s="6"/>
      <c r="D40" s="7"/>
      <c r="E40" s="7"/>
      <c r="F40" s="7"/>
      <c r="G40" s="7"/>
      <c r="H40" s="7"/>
      <c r="I40" s="7"/>
      <c r="J40" s="7"/>
    </row>
    <row r="41" spans="1:11" x14ac:dyDescent="0.3">
      <c r="A41" s="6"/>
      <c r="B41" s="6"/>
      <c r="C41" s="6"/>
      <c r="D41" s="7"/>
      <c r="E41" s="7"/>
      <c r="F41" s="7"/>
      <c r="G41" s="7"/>
      <c r="H41" s="7"/>
      <c r="I41" s="7"/>
      <c r="J41" s="7"/>
    </row>
    <row r="42" spans="1:11" x14ac:dyDescent="0.3">
      <c r="A42" s="6"/>
      <c r="B42" s="6"/>
      <c r="C42" s="6"/>
      <c r="D42" s="7"/>
      <c r="E42" s="7"/>
      <c r="F42" s="7"/>
      <c r="G42" s="7"/>
      <c r="H42" s="7"/>
      <c r="I42" s="7"/>
      <c r="J42" s="7"/>
    </row>
    <row r="43" spans="1:11" x14ac:dyDescent="0.3">
      <c r="A43" s="6"/>
      <c r="B43" s="6"/>
      <c r="C43" s="6"/>
      <c r="D43" s="7"/>
      <c r="E43" s="7"/>
      <c r="F43" s="7"/>
      <c r="G43" s="7"/>
      <c r="H43" s="7"/>
      <c r="I43" s="7"/>
      <c r="J43" s="7"/>
    </row>
    <row r="44" spans="1:11" x14ac:dyDescent="0.3">
      <c r="A44" s="6"/>
      <c r="B44" s="6"/>
      <c r="C44" s="6"/>
      <c r="D44" s="7"/>
      <c r="E44" s="7"/>
      <c r="F44" s="7"/>
      <c r="G44" s="7"/>
      <c r="H44" s="7"/>
      <c r="I44" s="7"/>
      <c r="J44" s="7"/>
    </row>
    <row r="45" spans="1:11" x14ac:dyDescent="0.3">
      <c r="A45" s="6"/>
      <c r="B45" s="6"/>
      <c r="C45" s="6"/>
      <c r="D45" s="7"/>
      <c r="E45" s="7"/>
      <c r="F45" s="7"/>
      <c r="G45" s="7"/>
      <c r="H45" s="7"/>
      <c r="I45" s="7"/>
      <c r="J45" s="7"/>
    </row>
    <row r="46" spans="1:11" x14ac:dyDescent="0.3">
      <c r="A46" s="6"/>
      <c r="B46" s="6"/>
      <c r="C46" s="6"/>
      <c r="D46" s="7"/>
      <c r="E46" s="7"/>
      <c r="F46" s="7"/>
      <c r="G46" s="7"/>
      <c r="H46" s="7"/>
      <c r="I46" s="7"/>
      <c r="J46" s="7"/>
    </row>
    <row r="47" spans="1:11" x14ac:dyDescent="0.3">
      <c r="A47" s="6"/>
      <c r="B47" s="6"/>
      <c r="C47" s="6"/>
      <c r="D47" s="7"/>
      <c r="E47" s="7"/>
      <c r="F47" s="7"/>
      <c r="G47" s="7"/>
      <c r="H47" s="7"/>
      <c r="I47" s="7"/>
      <c r="J47" s="7"/>
    </row>
    <row r="48" spans="1:11" x14ac:dyDescent="0.3">
      <c r="A48" s="6"/>
      <c r="B48" s="6"/>
      <c r="C48" s="6"/>
      <c r="D48" s="7"/>
      <c r="E48" s="7"/>
      <c r="F48" s="7"/>
      <c r="G48" s="7"/>
      <c r="H48" s="7"/>
      <c r="I48" s="7"/>
      <c r="J48" s="7"/>
    </row>
  </sheetData>
  <mergeCells count="6">
    <mergeCell ref="A3:D3"/>
    <mergeCell ref="A21:D21"/>
    <mergeCell ref="A32:B32"/>
    <mergeCell ref="A37:J37"/>
    <mergeCell ref="D38:E38"/>
    <mergeCell ref="F38:J38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9D3D-BA51-410D-AF45-E376B88ACCD9}">
  <dimension ref="A1:F203"/>
  <sheetViews>
    <sheetView workbookViewId="0">
      <selection activeCell="F2" sqref="F2"/>
    </sheetView>
  </sheetViews>
  <sheetFormatPr defaultRowHeight="14.4" x14ac:dyDescent="0.3"/>
  <cols>
    <col min="1" max="1" width="7.88671875" bestFit="1" customWidth="1"/>
    <col min="2" max="2" width="11.6640625" customWidth="1"/>
    <col min="3" max="3" width="8.5546875" bestFit="1" customWidth="1"/>
  </cols>
  <sheetData>
    <row r="1" spans="1:6" ht="28.8" x14ac:dyDescent="0.3">
      <c r="A1" s="21" t="s">
        <v>12</v>
      </c>
      <c r="B1" s="21" t="s">
        <v>44</v>
      </c>
      <c r="C1" s="21" t="s">
        <v>46</v>
      </c>
      <c r="D1" s="21" t="s">
        <v>13</v>
      </c>
      <c r="E1" s="21" t="s">
        <v>49</v>
      </c>
      <c r="F1" s="21" t="s">
        <v>52</v>
      </c>
    </row>
    <row r="2" spans="1:6" ht="43.2" x14ac:dyDescent="0.3">
      <c r="A2" s="21" t="s">
        <v>43</v>
      </c>
      <c r="B2" s="21" t="s">
        <v>45</v>
      </c>
      <c r="C2" s="21" t="s">
        <v>47</v>
      </c>
      <c r="D2" s="21" t="s">
        <v>48</v>
      </c>
      <c r="E2" s="21" t="s">
        <v>50</v>
      </c>
      <c r="F2" s="21" t="s">
        <v>51</v>
      </c>
    </row>
    <row r="3" spans="1:6" x14ac:dyDescent="0.3">
      <c r="A3" s="22">
        <v>0</v>
      </c>
      <c r="B3" s="22">
        <v>518.66999999999996</v>
      </c>
      <c r="C3" s="22">
        <v>2116.23</v>
      </c>
      <c r="D3" s="22">
        <v>2.3771700000000001E-3</v>
      </c>
      <c r="E3" s="22">
        <v>1116.45</v>
      </c>
      <c r="F3" s="23">
        <v>3.7845600000000001E-7</v>
      </c>
    </row>
    <row r="4" spans="1:6" x14ac:dyDescent="0.3">
      <c r="A4" s="22">
        <v>500</v>
      </c>
      <c r="B4" s="22">
        <v>516.88699999999994</v>
      </c>
      <c r="C4" s="22">
        <v>2078.27</v>
      </c>
      <c r="D4" s="22">
        <v>2.3425899999999999E-3</v>
      </c>
      <c r="E4" s="22">
        <v>1114.53</v>
      </c>
      <c r="F4" s="23">
        <v>3.77422E-7</v>
      </c>
    </row>
    <row r="5" spans="1:6" x14ac:dyDescent="0.3">
      <c r="A5" s="22">
        <v>1000</v>
      </c>
      <c r="B5" s="22">
        <v>515.10400000000004</v>
      </c>
      <c r="C5" s="22">
        <v>2040.86</v>
      </c>
      <c r="D5" s="22">
        <v>2.30839E-3</v>
      </c>
      <c r="E5" s="22">
        <v>1112.6099999999999</v>
      </c>
      <c r="F5" s="23">
        <v>3.7638599999999999E-7</v>
      </c>
    </row>
    <row r="6" spans="1:6" x14ac:dyDescent="0.3">
      <c r="A6" s="22">
        <v>1500</v>
      </c>
      <c r="B6" s="22">
        <v>513.32100000000003</v>
      </c>
      <c r="C6" s="22">
        <v>2004.01</v>
      </c>
      <c r="D6" s="22">
        <v>2.2745700000000001E-3</v>
      </c>
      <c r="E6" s="22">
        <v>1110.68</v>
      </c>
      <c r="F6" s="23">
        <v>3.7534900000000001E-7</v>
      </c>
    </row>
    <row r="7" spans="1:6" x14ac:dyDescent="0.3">
      <c r="A7" s="22">
        <v>2000</v>
      </c>
      <c r="B7" s="22">
        <v>511.53800000000001</v>
      </c>
      <c r="C7" s="22">
        <v>1967.69</v>
      </c>
      <c r="D7" s="22">
        <v>2.24114E-3</v>
      </c>
      <c r="E7" s="22">
        <v>1108.75</v>
      </c>
      <c r="F7" s="23">
        <v>3.7431000000000002E-7</v>
      </c>
    </row>
    <row r="8" spans="1:6" x14ac:dyDescent="0.3">
      <c r="A8" s="22">
        <v>2500</v>
      </c>
      <c r="B8" s="22">
        <v>509.755</v>
      </c>
      <c r="C8" s="22">
        <v>1931.91</v>
      </c>
      <c r="D8" s="22">
        <v>2.2080799999999999E-3</v>
      </c>
      <c r="E8" s="22">
        <v>1106.81</v>
      </c>
      <c r="F8" s="23">
        <v>3.7327000000000001E-7</v>
      </c>
    </row>
    <row r="9" spans="1:6" x14ac:dyDescent="0.3">
      <c r="A9" s="22">
        <v>3000</v>
      </c>
      <c r="B9" s="22">
        <v>507.97199999999998</v>
      </c>
      <c r="C9" s="22">
        <v>1896.65</v>
      </c>
      <c r="D9" s="22">
        <v>2.1753900000000001E-3</v>
      </c>
      <c r="E9" s="22">
        <v>1104.8800000000001</v>
      </c>
      <c r="F9" s="23">
        <v>3.7222799999999999E-7</v>
      </c>
    </row>
    <row r="10" spans="1:6" x14ac:dyDescent="0.3">
      <c r="A10" s="22">
        <v>3500</v>
      </c>
      <c r="B10" s="22">
        <v>506.18799999999999</v>
      </c>
      <c r="C10" s="22">
        <v>1861.92</v>
      </c>
      <c r="D10" s="22">
        <v>2.1430799999999999E-3</v>
      </c>
      <c r="E10" s="22">
        <v>1102.94</v>
      </c>
      <c r="F10" s="23">
        <v>3.7118400000000002E-7</v>
      </c>
    </row>
    <row r="11" spans="1:6" x14ac:dyDescent="0.3">
      <c r="A11" s="22">
        <v>4000</v>
      </c>
      <c r="B11" s="22">
        <v>504.40499999999997</v>
      </c>
      <c r="C11" s="22">
        <v>1827.71</v>
      </c>
      <c r="D11" s="22">
        <v>2.1111400000000001E-3</v>
      </c>
      <c r="E11" s="22">
        <v>1100.99</v>
      </c>
      <c r="F11" s="23">
        <v>3.70138E-7</v>
      </c>
    </row>
    <row r="12" spans="1:6" x14ac:dyDescent="0.3">
      <c r="A12" s="22">
        <v>4500</v>
      </c>
      <c r="B12" s="22">
        <v>502.62200000000001</v>
      </c>
      <c r="C12" s="22">
        <v>1794</v>
      </c>
      <c r="D12" s="22">
        <v>2.0795599999999998E-3</v>
      </c>
      <c r="E12" s="22">
        <v>1099.04</v>
      </c>
      <c r="F12" s="23">
        <v>3.6908999999999998E-7</v>
      </c>
    </row>
    <row r="13" spans="1:6" x14ac:dyDescent="0.3">
      <c r="A13" s="22">
        <v>5000</v>
      </c>
      <c r="B13" s="22">
        <v>500.839</v>
      </c>
      <c r="C13" s="22">
        <v>1760.8</v>
      </c>
      <c r="D13" s="22">
        <v>2.0483400000000001E-3</v>
      </c>
      <c r="E13" s="22">
        <v>1097.0899999999999</v>
      </c>
      <c r="F13" s="23">
        <v>3.6804099999999998E-7</v>
      </c>
    </row>
    <row r="14" spans="1:6" x14ac:dyDescent="0.3">
      <c r="A14" s="22">
        <v>5500</v>
      </c>
      <c r="B14" s="22">
        <v>499.05599999999998</v>
      </c>
      <c r="C14" s="22">
        <v>1728.1</v>
      </c>
      <c r="D14" s="22">
        <v>2.0174799999999999E-3</v>
      </c>
      <c r="E14" s="22">
        <v>1095.1400000000001</v>
      </c>
      <c r="F14" s="23">
        <v>3.6699100000000001E-7</v>
      </c>
    </row>
    <row r="15" spans="1:6" x14ac:dyDescent="0.3">
      <c r="A15" s="22">
        <v>6000</v>
      </c>
      <c r="B15" s="22">
        <v>497.27300000000002</v>
      </c>
      <c r="C15" s="22">
        <v>1695.9</v>
      </c>
      <c r="D15" s="22">
        <v>1.9869800000000002E-3</v>
      </c>
      <c r="E15" s="22">
        <v>1093.18</v>
      </c>
      <c r="F15" s="23">
        <v>3.65938E-7</v>
      </c>
    </row>
    <row r="16" spans="1:6" x14ac:dyDescent="0.3">
      <c r="A16" s="22">
        <v>6500</v>
      </c>
      <c r="B16" s="22">
        <v>495.49</v>
      </c>
      <c r="C16" s="22">
        <v>1664.18</v>
      </c>
      <c r="D16" s="22">
        <v>1.9568400000000001E-3</v>
      </c>
      <c r="E16" s="22">
        <v>1091.22</v>
      </c>
      <c r="F16" s="23">
        <v>3.6488399999999997E-7</v>
      </c>
    </row>
    <row r="17" spans="1:6" x14ac:dyDescent="0.3">
      <c r="A17" s="22">
        <v>7000</v>
      </c>
      <c r="B17" s="22">
        <v>493.70699999999999</v>
      </c>
      <c r="C17" s="22">
        <v>1632.94</v>
      </c>
      <c r="D17" s="22">
        <v>1.9270400000000001E-3</v>
      </c>
      <c r="E17" s="22">
        <v>1089.25</v>
      </c>
      <c r="F17" s="23">
        <v>3.6382799999999999E-7</v>
      </c>
    </row>
    <row r="18" spans="1:6" x14ac:dyDescent="0.3">
      <c r="A18" s="22">
        <v>7500</v>
      </c>
      <c r="B18" s="22">
        <v>491.92399999999998</v>
      </c>
      <c r="C18" s="22">
        <v>1602.18</v>
      </c>
      <c r="D18" s="22">
        <v>1.8975999999999999E-3</v>
      </c>
      <c r="E18" s="22">
        <v>1087.28</v>
      </c>
      <c r="F18" s="23">
        <v>3.6277000000000001E-7</v>
      </c>
    </row>
    <row r="19" spans="1:6" x14ac:dyDescent="0.3">
      <c r="A19" s="22">
        <v>8000</v>
      </c>
      <c r="B19" s="22">
        <v>490.14100000000002</v>
      </c>
      <c r="C19" s="22">
        <v>1571.9</v>
      </c>
      <c r="D19" s="22">
        <v>1.8684999999999999E-3</v>
      </c>
      <c r="E19" s="22">
        <v>1085.31</v>
      </c>
      <c r="F19" s="23">
        <v>3.6170999999999997E-7</v>
      </c>
    </row>
    <row r="20" spans="1:6" x14ac:dyDescent="0.3">
      <c r="A20" s="22">
        <v>8500</v>
      </c>
      <c r="B20" s="22">
        <v>488.358</v>
      </c>
      <c r="C20" s="22">
        <v>1542.07</v>
      </c>
      <c r="D20" s="22">
        <v>1.8397400000000001E-3</v>
      </c>
      <c r="E20" s="22">
        <v>1083.3399999999999</v>
      </c>
      <c r="F20" s="23">
        <v>3.6064900000000002E-7</v>
      </c>
    </row>
    <row r="21" spans="1:6" x14ac:dyDescent="0.3">
      <c r="A21" s="22">
        <v>9000</v>
      </c>
      <c r="B21" s="22">
        <v>486.57499999999999</v>
      </c>
      <c r="C21" s="22">
        <v>1512.71</v>
      </c>
      <c r="D21" s="22">
        <v>1.8113199999999999E-3</v>
      </c>
      <c r="E21" s="22">
        <v>1081.3599999999999</v>
      </c>
      <c r="F21" s="23">
        <v>3.59586E-7</v>
      </c>
    </row>
    <row r="22" spans="1:6" x14ac:dyDescent="0.3">
      <c r="A22" s="22">
        <v>9500</v>
      </c>
      <c r="B22" s="22">
        <v>484.791</v>
      </c>
      <c r="C22" s="22">
        <v>1483.8</v>
      </c>
      <c r="D22" s="22">
        <v>1.78324E-3</v>
      </c>
      <c r="E22" s="22">
        <v>1079.3699999999999</v>
      </c>
      <c r="F22" s="23">
        <v>3.5852099999999998E-7</v>
      </c>
    </row>
    <row r="23" spans="1:6" x14ac:dyDescent="0.3">
      <c r="A23" s="22">
        <v>10000</v>
      </c>
      <c r="B23" s="22">
        <v>483.00799999999998</v>
      </c>
      <c r="C23" s="22">
        <v>1455.34</v>
      </c>
      <c r="D23" s="22">
        <v>1.75549E-3</v>
      </c>
      <c r="E23" s="22">
        <v>1077.3900000000001</v>
      </c>
      <c r="F23" s="23">
        <v>3.5745400000000002E-7</v>
      </c>
    </row>
    <row r="24" spans="1:6" x14ac:dyDescent="0.3">
      <c r="A24" s="22">
        <v>10500</v>
      </c>
      <c r="B24" s="22">
        <v>481.22500000000002</v>
      </c>
      <c r="C24" s="22">
        <v>1427.32</v>
      </c>
      <c r="D24" s="22">
        <v>1.7280799999999999E-3</v>
      </c>
      <c r="E24" s="22">
        <v>1075.4000000000001</v>
      </c>
      <c r="F24" s="23">
        <v>3.5638600000000003E-7</v>
      </c>
    </row>
    <row r="25" spans="1:6" x14ac:dyDescent="0.3">
      <c r="A25" s="22">
        <v>11000</v>
      </c>
      <c r="B25" s="22">
        <v>479.44200000000001</v>
      </c>
      <c r="C25" s="22">
        <v>1399.74</v>
      </c>
      <c r="D25" s="22">
        <v>1.7009900000000001E-3</v>
      </c>
      <c r="E25" s="22">
        <v>1073.4000000000001</v>
      </c>
      <c r="F25" s="23">
        <v>3.5531599999999998E-7</v>
      </c>
    </row>
    <row r="26" spans="1:6" x14ac:dyDescent="0.3">
      <c r="A26" s="22">
        <v>11500</v>
      </c>
      <c r="B26" s="22">
        <v>477.65899999999999</v>
      </c>
      <c r="C26" s="22">
        <v>1372.6</v>
      </c>
      <c r="D26" s="22">
        <v>1.6742300000000001E-3</v>
      </c>
      <c r="E26" s="22">
        <v>1071.4000000000001</v>
      </c>
      <c r="F26" s="23">
        <v>3.5424399999999998E-7</v>
      </c>
    </row>
    <row r="27" spans="1:6" x14ac:dyDescent="0.3">
      <c r="A27" s="22">
        <v>12000</v>
      </c>
      <c r="B27" s="22">
        <v>475.87599999999998</v>
      </c>
      <c r="C27" s="22">
        <v>1345.88</v>
      </c>
      <c r="D27" s="22">
        <v>1.6477900000000001E-3</v>
      </c>
      <c r="E27" s="22">
        <v>1069.4000000000001</v>
      </c>
      <c r="F27" s="23">
        <v>3.5316999999999998E-7</v>
      </c>
    </row>
    <row r="28" spans="1:6" x14ac:dyDescent="0.3">
      <c r="A28" s="22">
        <v>12500</v>
      </c>
      <c r="B28" s="22">
        <v>474.09300000000002</v>
      </c>
      <c r="C28" s="22">
        <v>1319.59</v>
      </c>
      <c r="D28" s="22">
        <v>1.6216799999999999E-3</v>
      </c>
      <c r="E28" s="22">
        <v>1067.4000000000001</v>
      </c>
      <c r="F28" s="23">
        <v>3.5209399999999998E-7</v>
      </c>
    </row>
    <row r="29" spans="1:6" x14ac:dyDescent="0.3">
      <c r="A29" s="22">
        <v>13000</v>
      </c>
      <c r="B29" s="22">
        <v>472.31</v>
      </c>
      <c r="C29" s="22">
        <v>1293.71</v>
      </c>
      <c r="D29" s="22">
        <v>1.59588E-3</v>
      </c>
      <c r="E29" s="22">
        <v>1065.3900000000001</v>
      </c>
      <c r="F29" s="23">
        <v>3.5101600000000002E-7</v>
      </c>
    </row>
    <row r="30" spans="1:6" x14ac:dyDescent="0.3">
      <c r="A30" s="22">
        <v>13500</v>
      </c>
      <c r="B30" s="22">
        <v>470.52699999999999</v>
      </c>
      <c r="C30" s="22">
        <v>1268.25</v>
      </c>
      <c r="D30" s="22">
        <v>1.5703900000000001E-3</v>
      </c>
      <c r="E30" s="22">
        <v>1063.3699999999999</v>
      </c>
      <c r="F30" s="23">
        <v>3.4993699999999999E-7</v>
      </c>
    </row>
    <row r="31" spans="1:6" x14ac:dyDescent="0.3">
      <c r="A31" s="22">
        <v>14000</v>
      </c>
      <c r="B31" s="22">
        <v>468.74400000000003</v>
      </c>
      <c r="C31" s="22">
        <v>1243.19</v>
      </c>
      <c r="D31" s="22">
        <v>1.5452199999999999E-3</v>
      </c>
      <c r="E31" s="22">
        <v>1061.3599999999999</v>
      </c>
      <c r="F31" s="23">
        <v>3.4885600000000001E-7</v>
      </c>
    </row>
    <row r="32" spans="1:6" x14ac:dyDescent="0.3">
      <c r="A32" s="22">
        <v>14500</v>
      </c>
      <c r="B32" s="22">
        <v>466.96100000000001</v>
      </c>
      <c r="C32" s="22">
        <v>1218.53</v>
      </c>
      <c r="D32" s="22">
        <v>1.5203599999999999E-3</v>
      </c>
      <c r="E32" s="22">
        <v>1059.3399999999999</v>
      </c>
      <c r="F32" s="23">
        <v>3.4777299999999997E-7</v>
      </c>
    </row>
    <row r="33" spans="1:6" x14ac:dyDescent="0.3">
      <c r="A33" s="22">
        <v>15000</v>
      </c>
      <c r="B33" s="22">
        <v>465.178</v>
      </c>
      <c r="C33" s="22">
        <v>1194.28</v>
      </c>
      <c r="D33" s="22">
        <v>1.49581E-3</v>
      </c>
      <c r="E33" s="22">
        <v>1057.31</v>
      </c>
      <c r="F33" s="23">
        <v>3.4668799999999999E-7</v>
      </c>
    </row>
    <row r="34" spans="1:6" x14ac:dyDescent="0.3">
      <c r="A34" s="22">
        <v>15500</v>
      </c>
      <c r="B34" s="22">
        <v>463.39499999999998</v>
      </c>
      <c r="C34" s="22">
        <v>1170.4100000000001</v>
      </c>
      <c r="D34" s="22">
        <v>1.47156E-3</v>
      </c>
      <c r="E34" s="22">
        <v>1055.28</v>
      </c>
      <c r="F34" s="23">
        <v>3.45601E-7</v>
      </c>
    </row>
    <row r="35" spans="1:6" x14ac:dyDescent="0.3">
      <c r="A35" s="22">
        <v>16000</v>
      </c>
      <c r="B35" s="22">
        <v>461.61099999999999</v>
      </c>
      <c r="C35" s="22">
        <v>1146.93</v>
      </c>
      <c r="D35" s="22">
        <v>1.44761E-3</v>
      </c>
      <c r="E35" s="22">
        <v>1053.25</v>
      </c>
      <c r="F35" s="23">
        <v>3.4451299999999998E-7</v>
      </c>
    </row>
    <row r="36" spans="1:6" x14ac:dyDescent="0.3">
      <c r="A36" s="22">
        <v>16500</v>
      </c>
      <c r="B36" s="22">
        <v>459.82799999999997</v>
      </c>
      <c r="C36" s="22">
        <v>1123.8399999999999</v>
      </c>
      <c r="D36" s="22">
        <v>1.4239599999999999E-3</v>
      </c>
      <c r="E36" s="22">
        <v>1051.22</v>
      </c>
      <c r="F36" s="23">
        <v>3.4342199999999999E-7</v>
      </c>
    </row>
    <row r="37" spans="1:6" x14ac:dyDescent="0.3">
      <c r="A37" s="22">
        <v>17000</v>
      </c>
      <c r="B37" s="22">
        <v>458.04500000000002</v>
      </c>
      <c r="C37" s="22">
        <v>1101.1199999999999</v>
      </c>
      <c r="D37" s="22">
        <v>1.40061E-3</v>
      </c>
      <c r="E37" s="22">
        <v>1049.18</v>
      </c>
      <c r="F37" s="23">
        <v>3.4233000000000002E-7</v>
      </c>
    </row>
    <row r="38" spans="1:6" x14ac:dyDescent="0.3">
      <c r="A38" s="22">
        <v>17500</v>
      </c>
      <c r="B38" s="22">
        <v>456.262</v>
      </c>
      <c r="C38" s="22">
        <v>1078.78</v>
      </c>
      <c r="D38" s="22">
        <v>1.37755E-3</v>
      </c>
      <c r="E38" s="22">
        <v>1047.1300000000001</v>
      </c>
      <c r="F38" s="23">
        <v>3.4123500000000002E-7</v>
      </c>
    </row>
    <row r="39" spans="1:6" x14ac:dyDescent="0.3">
      <c r="A39" s="22">
        <v>18000</v>
      </c>
      <c r="B39" s="22">
        <v>454.47899999999998</v>
      </c>
      <c r="C39" s="22">
        <v>1056.81</v>
      </c>
      <c r="D39" s="22">
        <v>1.35479E-3</v>
      </c>
      <c r="E39" s="22">
        <v>1045.08</v>
      </c>
      <c r="F39" s="23">
        <v>3.40139E-7</v>
      </c>
    </row>
    <row r="40" spans="1:6" x14ac:dyDescent="0.3">
      <c r="A40" s="22">
        <v>18500</v>
      </c>
      <c r="B40" s="22">
        <v>452.69600000000003</v>
      </c>
      <c r="C40" s="22">
        <v>1035.19</v>
      </c>
      <c r="D40" s="22">
        <v>1.33231E-3</v>
      </c>
      <c r="E40" s="22">
        <v>1043.03</v>
      </c>
      <c r="F40" s="23">
        <v>3.3904100000000002E-7</v>
      </c>
    </row>
    <row r="41" spans="1:6" x14ac:dyDescent="0.3">
      <c r="A41" s="22">
        <v>19000</v>
      </c>
      <c r="B41" s="22">
        <v>450.91300000000001</v>
      </c>
      <c r="C41" s="22">
        <v>1013.94</v>
      </c>
      <c r="D41" s="22">
        <v>1.3101199999999999E-3</v>
      </c>
      <c r="E41" s="22">
        <v>1040.97</v>
      </c>
      <c r="F41" s="23">
        <v>3.37941E-7</v>
      </c>
    </row>
    <row r="42" spans="1:6" x14ac:dyDescent="0.3">
      <c r="A42" s="22">
        <v>19500</v>
      </c>
      <c r="B42" s="22">
        <v>449.13</v>
      </c>
      <c r="C42" s="22">
        <v>993.04600000000005</v>
      </c>
      <c r="D42" s="22">
        <v>1.2882099999999999E-3</v>
      </c>
      <c r="E42" s="22">
        <v>1038.9100000000001</v>
      </c>
      <c r="F42" s="23">
        <v>3.3683900000000002E-7</v>
      </c>
    </row>
    <row r="43" spans="1:6" x14ac:dyDescent="0.3">
      <c r="A43" s="22">
        <v>20000</v>
      </c>
      <c r="B43" s="22">
        <v>447.34699999999998</v>
      </c>
      <c r="C43" s="22">
        <v>972.49900000000002</v>
      </c>
      <c r="D43" s="22">
        <v>1.2665899999999999E-3</v>
      </c>
      <c r="E43" s="22">
        <v>1036.8499999999999</v>
      </c>
      <c r="F43" s="23">
        <v>3.3573499999999998E-7</v>
      </c>
    </row>
    <row r="44" spans="1:6" x14ac:dyDescent="0.3">
      <c r="A44" s="22">
        <v>20500</v>
      </c>
      <c r="B44" s="22">
        <v>445.56400000000002</v>
      </c>
      <c r="C44" s="22">
        <v>952.298</v>
      </c>
      <c r="D44" s="22">
        <v>1.2452400000000001E-3</v>
      </c>
      <c r="E44" s="22">
        <v>1034.78</v>
      </c>
      <c r="F44" s="23">
        <v>3.34629E-7</v>
      </c>
    </row>
    <row r="45" spans="1:6" x14ac:dyDescent="0.3">
      <c r="A45" s="22">
        <v>21000</v>
      </c>
      <c r="B45" s="22">
        <v>443.78100000000001</v>
      </c>
      <c r="C45" s="22">
        <v>932.43799999999999</v>
      </c>
      <c r="D45" s="22">
        <v>1.2241699999999999E-3</v>
      </c>
      <c r="E45" s="22">
        <v>1032.71</v>
      </c>
      <c r="F45" s="23">
        <v>3.3352199999999999E-7</v>
      </c>
    </row>
    <row r="46" spans="1:6" x14ac:dyDescent="0.3">
      <c r="A46" s="22">
        <v>21500</v>
      </c>
      <c r="B46" s="22">
        <v>441.99799999999999</v>
      </c>
      <c r="C46" s="22">
        <v>912.91499999999996</v>
      </c>
      <c r="D46" s="22">
        <v>1.20337E-3</v>
      </c>
      <c r="E46" s="22">
        <v>1030.6300000000001</v>
      </c>
      <c r="F46" s="23">
        <v>3.32412E-7</v>
      </c>
    </row>
    <row r="47" spans="1:6" x14ac:dyDescent="0.3">
      <c r="A47" s="22">
        <v>22000</v>
      </c>
      <c r="B47" s="22">
        <v>440.214</v>
      </c>
      <c r="C47" s="22">
        <v>893.72400000000005</v>
      </c>
      <c r="D47" s="22">
        <v>1.18285E-3</v>
      </c>
      <c r="E47" s="22">
        <v>1028.55</v>
      </c>
      <c r="F47" s="23">
        <v>3.3130000000000001E-7</v>
      </c>
    </row>
    <row r="48" spans="1:6" x14ac:dyDescent="0.3">
      <c r="A48" s="22">
        <v>22500</v>
      </c>
      <c r="B48" s="22">
        <v>438.43099999999998</v>
      </c>
      <c r="C48" s="22">
        <v>874.86099999999999</v>
      </c>
      <c r="D48" s="22">
        <v>1.16259E-3</v>
      </c>
      <c r="E48" s="22">
        <v>1026.47</v>
      </c>
      <c r="F48" s="23">
        <v>3.3018600000000002E-7</v>
      </c>
    </row>
    <row r="49" spans="1:6" x14ac:dyDescent="0.3">
      <c r="A49" s="22">
        <v>23000</v>
      </c>
      <c r="B49" s="22">
        <v>436.64800000000002</v>
      </c>
      <c r="C49" s="22">
        <v>856.32100000000003</v>
      </c>
      <c r="D49" s="22">
        <v>1.1425999999999999E-3</v>
      </c>
      <c r="E49" s="22">
        <v>1024.3800000000001</v>
      </c>
      <c r="F49" s="23">
        <v>3.29071E-7</v>
      </c>
    </row>
    <row r="50" spans="1:6" x14ac:dyDescent="0.3">
      <c r="A50" s="22">
        <v>23500</v>
      </c>
      <c r="B50" s="22">
        <v>434.86500000000001</v>
      </c>
      <c r="C50" s="22">
        <v>838.101</v>
      </c>
      <c r="D50" s="22">
        <v>1.12287E-3</v>
      </c>
      <c r="E50" s="22">
        <v>1022.28</v>
      </c>
      <c r="F50" s="23">
        <v>3.27953E-7</v>
      </c>
    </row>
    <row r="51" spans="1:6" x14ac:dyDescent="0.3">
      <c r="A51" s="22">
        <v>24000</v>
      </c>
      <c r="B51" s="22">
        <v>433.08199999999999</v>
      </c>
      <c r="C51" s="22">
        <v>820.19600000000003</v>
      </c>
      <c r="D51" s="22">
        <v>1.10341E-3</v>
      </c>
      <c r="E51" s="22">
        <v>1020.19</v>
      </c>
      <c r="F51" s="23">
        <v>3.2683399999999997E-7</v>
      </c>
    </row>
    <row r="52" spans="1:6" x14ac:dyDescent="0.3">
      <c r="A52" s="22">
        <v>24500</v>
      </c>
      <c r="B52" s="22">
        <v>431.29899999999998</v>
      </c>
      <c r="C52" s="22">
        <v>802.60299999999995</v>
      </c>
      <c r="D52" s="22">
        <v>1.0842099999999999E-3</v>
      </c>
      <c r="E52" s="22">
        <v>1018.08</v>
      </c>
      <c r="F52" s="23">
        <v>3.2571200000000003E-7</v>
      </c>
    </row>
    <row r="53" spans="1:6" x14ac:dyDescent="0.3">
      <c r="A53" s="22">
        <v>25000</v>
      </c>
      <c r="B53" s="22">
        <v>429.51600000000002</v>
      </c>
      <c r="C53" s="22">
        <v>785.31600000000003</v>
      </c>
      <c r="D53" s="22">
        <v>1.0652599999999999E-3</v>
      </c>
      <c r="E53" s="22">
        <v>1015.98</v>
      </c>
      <c r="F53" s="23">
        <v>3.2458800000000002E-7</v>
      </c>
    </row>
    <row r="54" spans="1:6" x14ac:dyDescent="0.3">
      <c r="A54" s="22">
        <v>25500</v>
      </c>
      <c r="B54" s="22">
        <v>427.733</v>
      </c>
      <c r="C54" s="22">
        <v>768.33199999999999</v>
      </c>
      <c r="D54" s="22">
        <v>1.04656E-3</v>
      </c>
      <c r="E54" s="22">
        <v>1013.87</v>
      </c>
      <c r="F54" s="23">
        <v>3.2346299999999999E-7</v>
      </c>
    </row>
    <row r="55" spans="1:6" x14ac:dyDescent="0.3">
      <c r="A55" s="22">
        <v>26000</v>
      </c>
      <c r="B55" s="22">
        <v>425.95</v>
      </c>
      <c r="C55" s="22">
        <v>751.64599999999996</v>
      </c>
      <c r="D55" s="22">
        <v>1.02812E-3</v>
      </c>
      <c r="E55" s="22">
        <v>1011.75</v>
      </c>
      <c r="F55" s="23">
        <v>3.2233499999999998E-7</v>
      </c>
    </row>
    <row r="56" spans="1:6" x14ac:dyDescent="0.3">
      <c r="A56" s="22">
        <v>26500</v>
      </c>
      <c r="B56" s="22">
        <v>424.16699999999997</v>
      </c>
      <c r="C56" s="22">
        <v>735.255</v>
      </c>
      <c r="D56" s="22">
        <v>1.00993E-3</v>
      </c>
      <c r="E56" s="22">
        <v>1009.63</v>
      </c>
      <c r="F56" s="23">
        <v>3.2120500000000002E-7</v>
      </c>
    </row>
    <row r="57" spans="1:6" x14ac:dyDescent="0.3">
      <c r="A57" s="22">
        <v>27000</v>
      </c>
      <c r="B57" s="22">
        <v>422.38400000000001</v>
      </c>
      <c r="C57" s="22">
        <v>719.15499999999997</v>
      </c>
      <c r="D57" s="22">
        <v>9.9198400000000001E-4</v>
      </c>
      <c r="E57" s="22">
        <v>1007.51</v>
      </c>
      <c r="F57" s="23">
        <v>3.2007399999999998E-7</v>
      </c>
    </row>
    <row r="58" spans="1:6" x14ac:dyDescent="0.3">
      <c r="A58" s="22">
        <v>27500</v>
      </c>
      <c r="B58" s="22">
        <v>420.601</v>
      </c>
      <c r="C58" s="22">
        <v>703.34100000000001</v>
      </c>
      <c r="D58" s="22">
        <v>9.7428399999999996E-4</v>
      </c>
      <c r="E58" s="22">
        <v>1005.38</v>
      </c>
      <c r="F58" s="23">
        <v>3.1894000000000002E-7</v>
      </c>
    </row>
    <row r="59" spans="1:6" x14ac:dyDescent="0.3">
      <c r="A59" s="22">
        <v>28000</v>
      </c>
      <c r="B59" s="22">
        <v>418.81799999999998</v>
      </c>
      <c r="C59" s="22">
        <v>687.81</v>
      </c>
      <c r="D59" s="22">
        <v>9.5682700000000005E-4</v>
      </c>
      <c r="E59" s="22">
        <v>1003.24</v>
      </c>
      <c r="F59" s="23">
        <v>3.17804E-7</v>
      </c>
    </row>
    <row r="60" spans="1:6" x14ac:dyDescent="0.3">
      <c r="A60" s="22">
        <v>28500</v>
      </c>
      <c r="B60" s="22">
        <v>417.03399999999999</v>
      </c>
      <c r="C60" s="22">
        <v>672.55799999999999</v>
      </c>
      <c r="D60" s="22">
        <v>9.3961000000000001E-4</v>
      </c>
      <c r="E60" s="22">
        <v>1001.11</v>
      </c>
      <c r="F60" s="23">
        <v>3.1666599999999998E-7</v>
      </c>
    </row>
    <row r="61" spans="1:6" x14ac:dyDescent="0.3">
      <c r="A61" s="22">
        <v>29000</v>
      </c>
      <c r="B61" s="22">
        <v>415.25099999999998</v>
      </c>
      <c r="C61" s="22">
        <v>657.58199999999999</v>
      </c>
      <c r="D61" s="22">
        <v>9.2263100000000004E-4</v>
      </c>
      <c r="E61" s="22">
        <v>998.96299999999997</v>
      </c>
      <c r="F61" s="23">
        <v>3.1552600000000002E-7</v>
      </c>
    </row>
    <row r="62" spans="1:6" x14ac:dyDescent="0.3">
      <c r="A62" s="22">
        <v>29500</v>
      </c>
      <c r="B62" s="22">
        <v>413.46800000000002</v>
      </c>
      <c r="C62" s="22">
        <v>642.87599999999998</v>
      </c>
      <c r="D62" s="22">
        <v>9.0588799999999998E-4</v>
      </c>
      <c r="E62" s="22">
        <v>996.81600000000003</v>
      </c>
      <c r="F62" s="23">
        <v>3.1438399999999999E-7</v>
      </c>
    </row>
    <row r="63" spans="1:6" x14ac:dyDescent="0.3">
      <c r="A63" s="22">
        <v>30000</v>
      </c>
      <c r="B63" s="22">
        <v>411.685</v>
      </c>
      <c r="C63" s="22">
        <v>628.43799999999999</v>
      </c>
      <c r="D63" s="22">
        <v>8.8937800000000002E-4</v>
      </c>
      <c r="E63" s="22">
        <v>994.66399999999999</v>
      </c>
      <c r="F63" s="23">
        <v>3.1324000000000002E-7</v>
      </c>
    </row>
    <row r="64" spans="1:6" x14ac:dyDescent="0.3">
      <c r="A64" s="22">
        <v>30500</v>
      </c>
      <c r="B64" s="22">
        <v>409.90199999999999</v>
      </c>
      <c r="C64" s="22">
        <v>614.26300000000003</v>
      </c>
      <c r="D64" s="22">
        <v>8.7309900000000001E-4</v>
      </c>
      <c r="E64" s="22">
        <v>992.50800000000004</v>
      </c>
      <c r="F64" s="23">
        <v>3.1209399999999999E-7</v>
      </c>
    </row>
    <row r="65" spans="1:6" x14ac:dyDescent="0.3">
      <c r="A65" s="22">
        <v>31000</v>
      </c>
      <c r="B65" s="22">
        <v>408.11900000000003</v>
      </c>
      <c r="C65" s="22">
        <v>600.34799999999996</v>
      </c>
      <c r="D65" s="22">
        <v>8.5705000000000004E-4</v>
      </c>
      <c r="E65" s="22">
        <v>990.34699999999998</v>
      </c>
      <c r="F65" s="23">
        <v>3.1094499999999998E-7</v>
      </c>
    </row>
    <row r="66" spans="1:6" x14ac:dyDescent="0.3">
      <c r="A66" s="22">
        <v>31500</v>
      </c>
      <c r="B66" s="22">
        <v>406.33600000000001</v>
      </c>
      <c r="C66" s="22">
        <v>586.69000000000005</v>
      </c>
      <c r="D66" s="22">
        <v>8.4122699999999995E-4</v>
      </c>
      <c r="E66" s="22">
        <v>988.18100000000004</v>
      </c>
      <c r="F66" s="23">
        <v>3.09795E-7</v>
      </c>
    </row>
    <row r="67" spans="1:6" x14ac:dyDescent="0.3">
      <c r="A67" s="22">
        <v>32000</v>
      </c>
      <c r="B67" s="22">
        <v>404.553</v>
      </c>
      <c r="C67" s="22">
        <v>573.28499999999997</v>
      </c>
      <c r="D67" s="22">
        <v>8.2562800000000002E-4</v>
      </c>
      <c r="E67" s="22">
        <v>986.01</v>
      </c>
      <c r="F67" s="23">
        <v>3.0864199999999999E-7</v>
      </c>
    </row>
    <row r="68" spans="1:6" x14ac:dyDescent="0.3">
      <c r="A68" s="22">
        <v>32500</v>
      </c>
      <c r="B68" s="22">
        <v>402.77</v>
      </c>
      <c r="C68" s="22">
        <v>560.12800000000004</v>
      </c>
      <c r="D68" s="22">
        <v>8.1025200000000002E-4</v>
      </c>
      <c r="E68" s="22">
        <v>983.83500000000004</v>
      </c>
      <c r="F68" s="23">
        <v>3.0748699999999998E-7</v>
      </c>
    </row>
    <row r="69" spans="1:6" x14ac:dyDescent="0.3">
      <c r="A69" s="22">
        <v>33000</v>
      </c>
      <c r="B69" s="22">
        <v>400.98700000000002</v>
      </c>
      <c r="C69" s="22">
        <v>547.21699999999998</v>
      </c>
      <c r="D69" s="22">
        <v>7.9509600000000002E-4</v>
      </c>
      <c r="E69" s="22">
        <v>981.65499999999997</v>
      </c>
      <c r="F69" s="23">
        <v>3.0633000000000002E-7</v>
      </c>
    </row>
    <row r="70" spans="1:6" x14ac:dyDescent="0.3">
      <c r="A70" s="22">
        <v>33500</v>
      </c>
      <c r="B70" s="22">
        <v>399.20400000000001</v>
      </c>
      <c r="C70" s="22">
        <v>534.548</v>
      </c>
      <c r="D70" s="22">
        <v>7.8015699999999996E-4</v>
      </c>
      <c r="E70" s="22">
        <v>979.47</v>
      </c>
      <c r="F70" s="23">
        <v>3.05171E-7</v>
      </c>
    </row>
    <row r="71" spans="1:6" x14ac:dyDescent="0.3">
      <c r="A71" s="22">
        <v>34000</v>
      </c>
      <c r="B71" s="22">
        <v>397.42099999999999</v>
      </c>
      <c r="C71" s="22">
        <v>522.11800000000005</v>
      </c>
      <c r="D71" s="22">
        <v>7.6543399999999995E-4</v>
      </c>
      <c r="E71" s="22">
        <v>977.28</v>
      </c>
      <c r="F71" s="23">
        <v>3.0400999999999998E-7</v>
      </c>
    </row>
    <row r="72" spans="1:6" x14ac:dyDescent="0.3">
      <c r="A72" s="22">
        <v>34500</v>
      </c>
      <c r="B72" s="22">
        <v>395.637</v>
      </c>
      <c r="C72" s="22">
        <v>509.923</v>
      </c>
      <c r="D72" s="22">
        <v>7.5092500000000005E-4</v>
      </c>
      <c r="E72" s="22">
        <v>975.08500000000004</v>
      </c>
      <c r="F72" s="23">
        <v>3.0284700000000001E-7</v>
      </c>
    </row>
    <row r="73" spans="1:6" x14ac:dyDescent="0.3">
      <c r="A73" s="22">
        <v>35000</v>
      </c>
      <c r="B73" s="22">
        <v>393.85399999999998</v>
      </c>
      <c r="C73" s="22">
        <v>497.959</v>
      </c>
      <c r="D73" s="22">
        <v>7.3662700000000001E-4</v>
      </c>
      <c r="E73" s="22">
        <v>972.88499999999999</v>
      </c>
      <c r="F73" s="23">
        <v>3.0168100000000001E-7</v>
      </c>
    </row>
    <row r="74" spans="1:6" x14ac:dyDescent="0.3">
      <c r="A74" s="22">
        <v>35500</v>
      </c>
      <c r="B74" s="22">
        <v>392.07100000000003</v>
      </c>
      <c r="C74" s="22">
        <v>486.22399999999999</v>
      </c>
      <c r="D74" s="22">
        <v>7.2253900000000002E-4</v>
      </c>
      <c r="E74" s="22">
        <v>970.68100000000004</v>
      </c>
      <c r="F74" s="23">
        <v>3.0051399999999999E-7</v>
      </c>
    </row>
    <row r="75" spans="1:6" x14ac:dyDescent="0.3">
      <c r="A75" s="22">
        <v>36000</v>
      </c>
      <c r="B75" s="22">
        <v>390.28800000000001</v>
      </c>
      <c r="C75" s="22">
        <v>474.714</v>
      </c>
      <c r="D75" s="22">
        <v>7.0865700000000002E-4</v>
      </c>
      <c r="E75" s="22">
        <v>968.471</v>
      </c>
      <c r="F75" s="23">
        <v>2.9934399999999998E-7</v>
      </c>
    </row>
    <row r="76" spans="1:6" x14ac:dyDescent="0.3">
      <c r="A76" s="22">
        <v>36500</v>
      </c>
      <c r="B76" s="22">
        <v>389.97</v>
      </c>
      <c r="C76" s="22">
        <v>463.44299999999998</v>
      </c>
      <c r="D76" s="22">
        <v>6.9239599999999996E-4</v>
      </c>
      <c r="E76" s="22">
        <v>968.07600000000002</v>
      </c>
      <c r="F76" s="23">
        <v>2.9913499999999998E-7</v>
      </c>
    </row>
    <row r="77" spans="1:6" x14ac:dyDescent="0.3">
      <c r="A77" s="22">
        <v>37000</v>
      </c>
      <c r="B77" s="22">
        <v>389.97</v>
      </c>
      <c r="C77" s="22">
        <v>452.43799999999999</v>
      </c>
      <c r="D77" s="22">
        <v>6.7595399999999999E-4</v>
      </c>
      <c r="E77" s="22">
        <v>968.07600000000002</v>
      </c>
      <c r="F77" s="23">
        <v>2.9913499999999998E-7</v>
      </c>
    </row>
    <row r="78" spans="1:6" x14ac:dyDescent="0.3">
      <c r="A78" s="22">
        <v>37500</v>
      </c>
      <c r="B78" s="22">
        <v>389.97</v>
      </c>
      <c r="C78" s="22">
        <v>441.69499999999999</v>
      </c>
      <c r="D78" s="22">
        <v>6.59904E-4</v>
      </c>
      <c r="E78" s="22">
        <v>968.07600000000002</v>
      </c>
      <c r="F78" s="23">
        <v>2.9913499999999998E-7</v>
      </c>
    </row>
    <row r="79" spans="1:6" x14ac:dyDescent="0.3">
      <c r="A79" s="22">
        <v>38000</v>
      </c>
      <c r="B79" s="22">
        <v>389.97</v>
      </c>
      <c r="C79" s="22">
        <v>431.20699999999999</v>
      </c>
      <c r="D79" s="22">
        <v>6.4423400000000004E-4</v>
      </c>
      <c r="E79" s="22">
        <v>968.07600000000002</v>
      </c>
      <c r="F79" s="23">
        <v>2.9913499999999998E-7</v>
      </c>
    </row>
    <row r="80" spans="1:6" x14ac:dyDescent="0.3">
      <c r="A80" s="22">
        <v>38500</v>
      </c>
      <c r="B80" s="22">
        <v>389.97</v>
      </c>
      <c r="C80" s="22">
        <v>420.96699999999998</v>
      </c>
      <c r="D80" s="22">
        <v>6.2893699999999999E-4</v>
      </c>
      <c r="E80" s="22">
        <v>968.07600000000002</v>
      </c>
      <c r="F80" s="23">
        <v>2.9913499999999998E-7</v>
      </c>
    </row>
    <row r="81" spans="1:6" x14ac:dyDescent="0.3">
      <c r="A81" s="22">
        <v>39000</v>
      </c>
      <c r="B81" s="22">
        <v>389.97</v>
      </c>
      <c r="C81" s="22">
        <v>410.97199999999998</v>
      </c>
      <c r="D81" s="22">
        <v>6.1400199999999999E-4</v>
      </c>
      <c r="E81" s="22">
        <v>968.07600000000002</v>
      </c>
      <c r="F81" s="23">
        <v>2.9913499999999998E-7</v>
      </c>
    </row>
    <row r="82" spans="1:6" x14ac:dyDescent="0.3">
      <c r="A82" s="22">
        <v>39500</v>
      </c>
      <c r="B82" s="22">
        <v>389.97</v>
      </c>
      <c r="C82" s="22">
        <v>401.21300000000002</v>
      </c>
      <c r="D82" s="22">
        <v>5.9942299999999997E-4</v>
      </c>
      <c r="E82" s="22">
        <v>968.07600000000002</v>
      </c>
      <c r="F82" s="23">
        <v>2.9913499999999998E-7</v>
      </c>
    </row>
    <row r="83" spans="1:6" x14ac:dyDescent="0.3">
      <c r="A83" s="22">
        <v>40000</v>
      </c>
      <c r="B83" s="22">
        <v>389.97</v>
      </c>
      <c r="C83" s="22">
        <v>391.68599999999998</v>
      </c>
      <c r="D83" s="22">
        <v>5.8518899999999996E-4</v>
      </c>
      <c r="E83" s="22">
        <v>968.07600000000002</v>
      </c>
      <c r="F83" s="23">
        <v>2.9913499999999998E-7</v>
      </c>
    </row>
    <row r="84" spans="1:6" x14ac:dyDescent="0.3">
      <c r="A84" s="22">
        <v>40500</v>
      </c>
      <c r="B84" s="22">
        <v>389.97</v>
      </c>
      <c r="C84" s="22">
        <v>382.38499999999999</v>
      </c>
      <c r="D84" s="22">
        <v>5.7129399999999997E-4</v>
      </c>
      <c r="E84" s="22">
        <v>968.07600000000002</v>
      </c>
      <c r="F84" s="23">
        <v>2.9913499999999998E-7</v>
      </c>
    </row>
    <row r="85" spans="1:6" x14ac:dyDescent="0.3">
      <c r="A85" s="22">
        <v>41000</v>
      </c>
      <c r="B85" s="22">
        <v>389.97</v>
      </c>
      <c r="C85" s="22">
        <v>373.30500000000001</v>
      </c>
      <c r="D85" s="22">
        <v>5.5772799999999996E-4</v>
      </c>
      <c r="E85" s="22">
        <v>968.07600000000002</v>
      </c>
      <c r="F85" s="23">
        <v>2.9913499999999998E-7</v>
      </c>
    </row>
    <row r="86" spans="1:6" x14ac:dyDescent="0.3">
      <c r="A86" s="22">
        <v>41500</v>
      </c>
      <c r="B86" s="22">
        <v>389.97</v>
      </c>
      <c r="C86" s="22">
        <v>364.44099999999997</v>
      </c>
      <c r="D86" s="22">
        <v>5.4448500000000004E-4</v>
      </c>
      <c r="E86" s="22">
        <v>968.07600000000002</v>
      </c>
      <c r="F86" s="23">
        <v>2.9913499999999998E-7</v>
      </c>
    </row>
    <row r="87" spans="1:6" x14ac:dyDescent="0.3">
      <c r="A87" s="22">
        <v>42000</v>
      </c>
      <c r="B87" s="22">
        <v>389.97</v>
      </c>
      <c r="C87" s="22">
        <v>355.78699999999998</v>
      </c>
      <c r="D87" s="22">
        <v>5.3155599999999998E-4</v>
      </c>
      <c r="E87" s="22">
        <v>968.07600000000002</v>
      </c>
      <c r="F87" s="23">
        <v>2.9913499999999998E-7</v>
      </c>
    </row>
    <row r="88" spans="1:6" x14ac:dyDescent="0.3">
      <c r="A88" s="22">
        <v>42500</v>
      </c>
      <c r="B88" s="22">
        <v>389.97</v>
      </c>
      <c r="C88" s="22">
        <v>347.339</v>
      </c>
      <c r="D88" s="22">
        <v>5.1893399999999998E-4</v>
      </c>
      <c r="E88" s="22">
        <v>968.07600000000002</v>
      </c>
      <c r="F88" s="23">
        <v>2.9913499999999998E-7</v>
      </c>
    </row>
    <row r="89" spans="1:6" x14ac:dyDescent="0.3">
      <c r="A89" s="22">
        <v>43000</v>
      </c>
      <c r="B89" s="22">
        <v>389.97</v>
      </c>
      <c r="C89" s="22">
        <v>339.09199999999998</v>
      </c>
      <c r="D89" s="22">
        <v>5.0661200000000003E-4</v>
      </c>
      <c r="E89" s="22">
        <v>968.07600000000002</v>
      </c>
      <c r="F89" s="23">
        <v>2.9913499999999998E-7</v>
      </c>
    </row>
    <row r="90" spans="1:6" x14ac:dyDescent="0.3">
      <c r="A90" s="22">
        <v>43500</v>
      </c>
      <c r="B90" s="22">
        <v>389.97</v>
      </c>
      <c r="C90" s="22">
        <v>331.04</v>
      </c>
      <c r="D90" s="22">
        <v>4.9458200000000003E-4</v>
      </c>
      <c r="E90" s="22">
        <v>968.07600000000002</v>
      </c>
      <c r="F90" s="23">
        <v>2.9913499999999998E-7</v>
      </c>
    </row>
    <row r="91" spans="1:6" x14ac:dyDescent="0.3">
      <c r="A91" s="22">
        <v>44000</v>
      </c>
      <c r="B91" s="22">
        <v>389.97</v>
      </c>
      <c r="C91" s="22">
        <v>323.17899999999997</v>
      </c>
      <c r="D91" s="22">
        <v>4.8283799999999997E-4</v>
      </c>
      <c r="E91" s="22">
        <v>968.07600000000002</v>
      </c>
      <c r="F91" s="23">
        <v>2.9913499999999998E-7</v>
      </c>
    </row>
    <row r="92" spans="1:6" x14ac:dyDescent="0.3">
      <c r="A92" s="22">
        <v>44500</v>
      </c>
      <c r="B92" s="22">
        <v>389.97</v>
      </c>
      <c r="C92" s="22">
        <v>315.505</v>
      </c>
      <c r="D92" s="22">
        <v>4.7137299999999997E-4</v>
      </c>
      <c r="E92" s="22">
        <v>968.07600000000002</v>
      </c>
      <c r="F92" s="23">
        <v>2.9913499999999998E-7</v>
      </c>
    </row>
    <row r="93" spans="1:6" x14ac:dyDescent="0.3">
      <c r="A93" s="22">
        <v>45000</v>
      </c>
      <c r="B93" s="22">
        <v>389.97</v>
      </c>
      <c r="C93" s="22">
        <v>308.01299999999998</v>
      </c>
      <c r="D93" s="22">
        <v>4.6017999999999997E-4</v>
      </c>
      <c r="E93" s="22">
        <v>968.07600000000002</v>
      </c>
      <c r="F93" s="23">
        <v>2.9913499999999998E-7</v>
      </c>
    </row>
    <row r="94" spans="1:6" x14ac:dyDescent="0.3">
      <c r="A94" s="22">
        <v>45500</v>
      </c>
      <c r="B94" s="22">
        <v>389.97</v>
      </c>
      <c r="C94" s="22">
        <v>300.7</v>
      </c>
      <c r="D94" s="22">
        <v>4.4925299999999999E-4</v>
      </c>
      <c r="E94" s="22">
        <v>968.07600000000002</v>
      </c>
      <c r="F94" s="23">
        <v>2.9913499999999998E-7</v>
      </c>
    </row>
    <row r="95" spans="1:6" x14ac:dyDescent="0.3">
      <c r="A95" s="22">
        <v>46000</v>
      </c>
      <c r="B95" s="22">
        <v>389.97</v>
      </c>
      <c r="C95" s="22">
        <v>293.55900000000003</v>
      </c>
      <c r="D95" s="22">
        <v>4.3858599999999998E-4</v>
      </c>
      <c r="E95" s="22">
        <v>968.07600000000002</v>
      </c>
      <c r="F95" s="23">
        <v>2.9913499999999998E-7</v>
      </c>
    </row>
    <row r="96" spans="1:6" x14ac:dyDescent="0.3">
      <c r="A96" s="22">
        <v>46500</v>
      </c>
      <c r="B96" s="22">
        <v>389.97</v>
      </c>
      <c r="C96" s="22">
        <v>286.589</v>
      </c>
      <c r="D96" s="22">
        <v>4.2817099999999998E-4</v>
      </c>
      <c r="E96" s="22">
        <v>968.07600000000002</v>
      </c>
      <c r="F96" s="23">
        <v>2.9913499999999998E-7</v>
      </c>
    </row>
    <row r="97" spans="1:6" x14ac:dyDescent="0.3">
      <c r="A97" s="22">
        <v>47000</v>
      </c>
      <c r="B97" s="22">
        <v>389.97</v>
      </c>
      <c r="C97" s="22">
        <v>279.78399999999999</v>
      </c>
      <c r="D97" s="22">
        <v>4.1800399999999998E-4</v>
      </c>
      <c r="E97" s="22">
        <v>968.07600000000002</v>
      </c>
      <c r="F97" s="23">
        <v>2.9913499999999998E-7</v>
      </c>
    </row>
    <row r="98" spans="1:6" x14ac:dyDescent="0.3">
      <c r="A98" s="22">
        <v>47500</v>
      </c>
      <c r="B98" s="22">
        <v>389.97</v>
      </c>
      <c r="C98" s="22">
        <v>273.14</v>
      </c>
      <c r="D98" s="22">
        <v>4.0807899999999999E-4</v>
      </c>
      <c r="E98" s="22">
        <v>968.07600000000002</v>
      </c>
      <c r="F98" s="23">
        <v>2.9913499999999998E-7</v>
      </c>
    </row>
    <row r="99" spans="1:6" x14ac:dyDescent="0.3">
      <c r="A99" s="22">
        <v>48000</v>
      </c>
      <c r="B99" s="22">
        <v>389.97</v>
      </c>
      <c r="C99" s="22">
        <v>266.654</v>
      </c>
      <c r="D99" s="22">
        <v>3.9838900000000002E-4</v>
      </c>
      <c r="E99" s="22">
        <v>968.07600000000002</v>
      </c>
      <c r="F99" s="23">
        <v>2.9913499999999998E-7</v>
      </c>
    </row>
    <row r="100" spans="1:6" x14ac:dyDescent="0.3">
      <c r="A100" s="22">
        <v>48500</v>
      </c>
      <c r="B100" s="22">
        <v>389.97</v>
      </c>
      <c r="C100" s="22">
        <v>260.32299999999998</v>
      </c>
      <c r="D100" s="22">
        <v>3.8892899999999999E-4</v>
      </c>
      <c r="E100" s="22">
        <v>968.07600000000002</v>
      </c>
      <c r="F100" s="23">
        <v>2.9913499999999998E-7</v>
      </c>
    </row>
    <row r="101" spans="1:6" x14ac:dyDescent="0.3">
      <c r="A101" s="22">
        <v>49000</v>
      </c>
      <c r="B101" s="22">
        <v>389.97</v>
      </c>
      <c r="C101" s="22">
        <v>254.14099999999999</v>
      </c>
      <c r="D101" s="22">
        <v>3.7969399999999997E-4</v>
      </c>
      <c r="E101" s="22">
        <v>968.07600000000002</v>
      </c>
      <c r="F101" s="23">
        <v>2.9913499999999998E-7</v>
      </c>
    </row>
    <row r="102" spans="1:6" x14ac:dyDescent="0.3">
      <c r="A102" s="22">
        <v>49500</v>
      </c>
      <c r="B102" s="22">
        <v>389.97</v>
      </c>
      <c r="C102" s="22">
        <v>248.10599999999999</v>
      </c>
      <c r="D102" s="22">
        <v>3.7067799999999999E-4</v>
      </c>
      <c r="E102" s="22">
        <v>968.07600000000002</v>
      </c>
      <c r="F102" s="23">
        <v>2.9913499999999998E-7</v>
      </c>
    </row>
    <row r="103" spans="1:6" x14ac:dyDescent="0.3">
      <c r="A103" s="22">
        <v>50000</v>
      </c>
      <c r="B103" s="22">
        <v>389.97</v>
      </c>
      <c r="C103" s="22">
        <v>242.215</v>
      </c>
      <c r="D103" s="22">
        <v>3.6187600000000002E-4</v>
      </c>
      <c r="E103" s="22">
        <v>968.07600000000002</v>
      </c>
      <c r="F103" s="23">
        <v>2.9913499999999998E-7</v>
      </c>
    </row>
    <row r="104" spans="1:6" x14ac:dyDescent="0.3">
      <c r="A104" s="22">
        <v>50500</v>
      </c>
      <c r="B104" s="22">
        <v>389.97</v>
      </c>
      <c r="C104" s="22">
        <v>236.464</v>
      </c>
      <c r="D104" s="22">
        <v>3.5328300000000003E-4</v>
      </c>
      <c r="E104" s="22">
        <v>968.07600000000002</v>
      </c>
      <c r="F104" s="23">
        <v>2.9913499999999998E-7</v>
      </c>
    </row>
    <row r="105" spans="1:6" x14ac:dyDescent="0.3">
      <c r="A105" s="22">
        <v>51000</v>
      </c>
      <c r="B105" s="22">
        <v>389.97</v>
      </c>
      <c r="C105" s="22">
        <v>230.84899999999999</v>
      </c>
      <c r="D105" s="22">
        <v>3.4489399999999999E-4</v>
      </c>
      <c r="E105" s="22">
        <v>968.07600000000002</v>
      </c>
      <c r="F105" s="23">
        <v>2.9913499999999998E-7</v>
      </c>
    </row>
    <row r="106" spans="1:6" x14ac:dyDescent="0.3">
      <c r="A106" s="22">
        <v>51500</v>
      </c>
      <c r="B106" s="22">
        <v>389.97</v>
      </c>
      <c r="C106" s="22">
        <v>225.36699999999999</v>
      </c>
      <c r="D106" s="22">
        <v>3.3670500000000002E-4</v>
      </c>
      <c r="E106" s="22">
        <v>968.07600000000002</v>
      </c>
      <c r="F106" s="23">
        <v>2.9913499999999998E-7</v>
      </c>
    </row>
    <row r="107" spans="1:6" x14ac:dyDescent="0.3">
      <c r="A107" s="22">
        <v>52000</v>
      </c>
      <c r="B107" s="22">
        <v>389.97</v>
      </c>
      <c r="C107" s="22">
        <v>220.01599999999999</v>
      </c>
      <c r="D107" s="22">
        <v>3.28709E-4</v>
      </c>
      <c r="E107" s="22">
        <v>968.07600000000002</v>
      </c>
      <c r="F107" s="23">
        <v>2.9913499999999998E-7</v>
      </c>
    </row>
    <row r="108" spans="1:6" x14ac:dyDescent="0.3">
      <c r="A108" s="22">
        <v>52500</v>
      </c>
      <c r="B108" s="22">
        <v>389.97</v>
      </c>
      <c r="C108" s="22">
        <v>214.791</v>
      </c>
      <c r="D108" s="22">
        <v>3.20904E-4</v>
      </c>
      <c r="E108" s="22">
        <v>968.07600000000002</v>
      </c>
      <c r="F108" s="23">
        <v>2.9913499999999998E-7</v>
      </c>
    </row>
    <row r="109" spans="1:6" x14ac:dyDescent="0.3">
      <c r="A109" s="22">
        <v>53000</v>
      </c>
      <c r="B109" s="22">
        <v>389.97</v>
      </c>
      <c r="C109" s="22">
        <v>209.691</v>
      </c>
      <c r="D109" s="22">
        <v>3.1328399999999999E-4</v>
      </c>
      <c r="E109" s="22">
        <v>968.07600000000002</v>
      </c>
      <c r="F109" s="23">
        <v>2.9913499999999998E-7</v>
      </c>
    </row>
    <row r="110" spans="1:6" x14ac:dyDescent="0.3">
      <c r="A110" s="22">
        <v>53500</v>
      </c>
      <c r="B110" s="22">
        <v>389.97</v>
      </c>
      <c r="C110" s="22">
        <v>204.71199999999999</v>
      </c>
      <c r="D110" s="22">
        <v>3.0584500000000001E-4</v>
      </c>
      <c r="E110" s="22">
        <v>968.07600000000002</v>
      </c>
      <c r="F110" s="23">
        <v>2.9913499999999998E-7</v>
      </c>
    </row>
    <row r="111" spans="1:6" x14ac:dyDescent="0.3">
      <c r="A111" s="22">
        <v>54000</v>
      </c>
      <c r="B111" s="22">
        <v>389.97</v>
      </c>
      <c r="C111" s="22">
        <v>199.851</v>
      </c>
      <c r="D111" s="22">
        <v>2.98583E-4</v>
      </c>
      <c r="E111" s="22">
        <v>968.07600000000002</v>
      </c>
      <c r="F111" s="23">
        <v>2.9913499999999998E-7</v>
      </c>
    </row>
    <row r="112" spans="1:6" x14ac:dyDescent="0.3">
      <c r="A112" s="22">
        <v>54500</v>
      </c>
      <c r="B112" s="22">
        <v>389.97</v>
      </c>
      <c r="C112" s="22">
        <v>195.10599999999999</v>
      </c>
      <c r="D112" s="22">
        <v>2.9149299999999998E-4</v>
      </c>
      <c r="E112" s="22">
        <v>968.07600000000002</v>
      </c>
      <c r="F112" s="23">
        <v>2.9913499999999998E-7</v>
      </c>
    </row>
    <row r="113" spans="1:6" x14ac:dyDescent="0.3">
      <c r="A113" s="22">
        <v>55000</v>
      </c>
      <c r="B113" s="22">
        <v>389.97</v>
      </c>
      <c r="C113" s="22">
        <v>190.47300000000001</v>
      </c>
      <c r="D113" s="22">
        <v>2.8457100000000001E-4</v>
      </c>
      <c r="E113" s="22">
        <v>968.07600000000002</v>
      </c>
      <c r="F113" s="23">
        <v>2.9913499999999998E-7</v>
      </c>
    </row>
    <row r="114" spans="1:6" x14ac:dyDescent="0.3">
      <c r="A114" s="22">
        <v>55500</v>
      </c>
      <c r="B114" s="22">
        <v>389.97</v>
      </c>
      <c r="C114" s="22">
        <v>185.95</v>
      </c>
      <c r="D114" s="22">
        <v>2.7781399999999998E-4</v>
      </c>
      <c r="E114" s="22">
        <v>968.07600000000002</v>
      </c>
      <c r="F114" s="23">
        <v>2.9913499999999998E-7</v>
      </c>
    </row>
    <row r="115" spans="1:6" x14ac:dyDescent="0.3">
      <c r="A115" s="22">
        <v>56000</v>
      </c>
      <c r="B115" s="22">
        <v>389.97</v>
      </c>
      <c r="C115" s="22">
        <v>181.53399999999999</v>
      </c>
      <c r="D115" s="22">
        <v>2.7121699999999998E-4</v>
      </c>
      <c r="E115" s="22">
        <v>968.07600000000002</v>
      </c>
      <c r="F115" s="23">
        <v>2.9913499999999998E-7</v>
      </c>
    </row>
    <row r="116" spans="1:6" x14ac:dyDescent="0.3">
      <c r="A116" s="22">
        <v>56500</v>
      </c>
      <c r="B116" s="22">
        <v>389.97</v>
      </c>
      <c r="C116" s="22">
        <v>177.22399999999999</v>
      </c>
      <c r="D116" s="22">
        <v>2.64777E-4</v>
      </c>
      <c r="E116" s="22">
        <v>968.07600000000002</v>
      </c>
      <c r="F116" s="23">
        <v>2.9913499999999998E-7</v>
      </c>
    </row>
    <row r="117" spans="1:6" x14ac:dyDescent="0.3">
      <c r="A117" s="22">
        <v>57000</v>
      </c>
      <c r="B117" s="22">
        <v>389.97</v>
      </c>
      <c r="C117" s="22">
        <v>173.01599999999999</v>
      </c>
      <c r="D117" s="22">
        <v>2.5849E-4</v>
      </c>
      <c r="E117" s="22">
        <v>968.07600000000002</v>
      </c>
      <c r="F117" s="23">
        <v>2.9913499999999998E-7</v>
      </c>
    </row>
    <row r="118" spans="1:6" x14ac:dyDescent="0.3">
      <c r="A118" s="22">
        <v>57500</v>
      </c>
      <c r="B118" s="22">
        <v>389.97</v>
      </c>
      <c r="C118" s="22">
        <v>168.90700000000001</v>
      </c>
      <c r="D118" s="22">
        <v>2.5235200000000001E-4</v>
      </c>
      <c r="E118" s="22">
        <v>968.07600000000002</v>
      </c>
      <c r="F118" s="23">
        <v>2.9913499999999998E-7</v>
      </c>
    </row>
    <row r="119" spans="1:6" x14ac:dyDescent="0.3">
      <c r="A119" s="22">
        <v>58000</v>
      </c>
      <c r="B119" s="22">
        <v>389.97</v>
      </c>
      <c r="C119" s="22">
        <v>164.89699999999999</v>
      </c>
      <c r="D119" s="22">
        <v>2.4635999999999999E-4</v>
      </c>
      <c r="E119" s="22">
        <v>968.07600000000002</v>
      </c>
      <c r="F119" s="23">
        <v>2.9913499999999998E-7</v>
      </c>
    </row>
    <row r="120" spans="1:6" x14ac:dyDescent="0.3">
      <c r="A120" s="22">
        <v>58500</v>
      </c>
      <c r="B120" s="22">
        <v>389.97</v>
      </c>
      <c r="C120" s="22">
        <v>160.98099999999999</v>
      </c>
      <c r="D120" s="22">
        <v>2.4051000000000001E-4</v>
      </c>
      <c r="E120" s="22">
        <v>968.07600000000002</v>
      </c>
      <c r="F120" s="23">
        <v>2.9913499999999998E-7</v>
      </c>
    </row>
    <row r="121" spans="1:6" x14ac:dyDescent="0.3">
      <c r="A121" s="22">
        <v>59000</v>
      </c>
      <c r="B121" s="22">
        <v>389.97</v>
      </c>
      <c r="C121" s="22">
        <v>157.15899999999999</v>
      </c>
      <c r="D121" s="22">
        <v>2.34799E-4</v>
      </c>
      <c r="E121" s="22">
        <v>968.07600000000002</v>
      </c>
      <c r="F121" s="23">
        <v>2.9913499999999998E-7</v>
      </c>
    </row>
    <row r="122" spans="1:6" x14ac:dyDescent="0.3">
      <c r="A122" s="22">
        <v>59500</v>
      </c>
      <c r="B122" s="22">
        <v>389.97</v>
      </c>
      <c r="C122" s="22">
        <v>153.42699999999999</v>
      </c>
      <c r="D122" s="22">
        <v>2.2922400000000001E-4</v>
      </c>
      <c r="E122" s="22">
        <v>968.07600000000002</v>
      </c>
      <c r="F122" s="23">
        <v>2.9913499999999998E-7</v>
      </c>
    </row>
    <row r="123" spans="1:6" x14ac:dyDescent="0.3">
      <c r="A123" s="22">
        <v>60000</v>
      </c>
      <c r="B123" s="22">
        <v>389.97</v>
      </c>
      <c r="C123" s="22">
        <v>149.78399999999999</v>
      </c>
      <c r="D123" s="22">
        <v>2.2378099999999999E-4</v>
      </c>
      <c r="E123" s="22">
        <v>968.07600000000002</v>
      </c>
      <c r="F123" s="23">
        <v>2.9913499999999998E-7</v>
      </c>
    </row>
    <row r="124" spans="1:6" x14ac:dyDescent="0.3">
      <c r="A124" s="22">
        <v>60500</v>
      </c>
      <c r="B124" s="22">
        <v>389.97</v>
      </c>
      <c r="C124" s="22">
        <v>146.227</v>
      </c>
      <c r="D124" s="22">
        <v>2.1846699999999999E-4</v>
      </c>
      <c r="E124" s="22">
        <v>968.07600000000002</v>
      </c>
      <c r="F124" s="23">
        <v>2.9913499999999998E-7</v>
      </c>
    </row>
    <row r="125" spans="1:6" x14ac:dyDescent="0.3">
      <c r="A125" s="22">
        <v>61000</v>
      </c>
      <c r="B125" s="22">
        <v>389.97</v>
      </c>
      <c r="C125" s="22">
        <v>142.755</v>
      </c>
      <c r="D125" s="22">
        <v>2.13279E-4</v>
      </c>
      <c r="E125" s="22">
        <v>968.07600000000002</v>
      </c>
      <c r="F125" s="23">
        <v>2.9913499999999998E-7</v>
      </c>
    </row>
    <row r="126" spans="1:6" x14ac:dyDescent="0.3">
      <c r="A126" s="22">
        <v>61500</v>
      </c>
      <c r="B126" s="22">
        <v>389.97</v>
      </c>
      <c r="C126" s="22">
        <v>139.36500000000001</v>
      </c>
      <c r="D126" s="22">
        <v>2.0821500000000001E-4</v>
      </c>
      <c r="E126" s="22">
        <v>968.07600000000002</v>
      </c>
      <c r="F126" s="23">
        <v>2.9913499999999998E-7</v>
      </c>
    </row>
    <row r="127" spans="1:6" x14ac:dyDescent="0.3">
      <c r="A127" s="22">
        <v>62000</v>
      </c>
      <c r="B127" s="22">
        <v>389.97</v>
      </c>
      <c r="C127" s="22">
        <v>136.05600000000001</v>
      </c>
      <c r="D127" s="22">
        <v>2.0327100000000001E-4</v>
      </c>
      <c r="E127" s="22">
        <v>968.07600000000002</v>
      </c>
      <c r="F127" s="23">
        <v>2.9913499999999998E-7</v>
      </c>
    </row>
    <row r="128" spans="1:6" x14ac:dyDescent="0.3">
      <c r="A128" s="22">
        <v>62500</v>
      </c>
      <c r="B128" s="22">
        <v>389.97</v>
      </c>
      <c r="C128" s="22">
        <v>132.82499999999999</v>
      </c>
      <c r="D128" s="22">
        <v>1.9844400000000001E-4</v>
      </c>
      <c r="E128" s="22">
        <v>968.07600000000002</v>
      </c>
      <c r="F128" s="23">
        <v>2.9913499999999998E-7</v>
      </c>
    </row>
    <row r="129" spans="1:6" x14ac:dyDescent="0.3">
      <c r="A129" s="22">
        <v>63000</v>
      </c>
      <c r="B129" s="22">
        <v>389.97</v>
      </c>
      <c r="C129" s="22">
        <v>129.67099999999999</v>
      </c>
      <c r="D129" s="22">
        <v>1.9373200000000001E-4</v>
      </c>
      <c r="E129" s="22">
        <v>968.07600000000002</v>
      </c>
      <c r="F129" s="23">
        <v>2.9913499999999998E-7</v>
      </c>
    </row>
    <row r="130" spans="1:6" x14ac:dyDescent="0.3">
      <c r="A130" s="22">
        <v>63500</v>
      </c>
      <c r="B130" s="22">
        <v>389.97</v>
      </c>
      <c r="C130" s="22">
        <v>126.592</v>
      </c>
      <c r="D130" s="22">
        <v>1.89132E-4</v>
      </c>
      <c r="E130" s="22">
        <v>968.07600000000002</v>
      </c>
      <c r="F130" s="23">
        <v>2.9913499999999998E-7</v>
      </c>
    </row>
    <row r="131" spans="1:6" x14ac:dyDescent="0.3">
      <c r="A131" s="22">
        <v>64000</v>
      </c>
      <c r="B131" s="22">
        <v>389.97</v>
      </c>
      <c r="C131" s="22">
        <v>123.586</v>
      </c>
      <c r="D131" s="22">
        <v>1.8464100000000001E-4</v>
      </c>
      <c r="E131" s="22">
        <v>968.07600000000002</v>
      </c>
      <c r="F131" s="23">
        <v>2.9913499999999998E-7</v>
      </c>
    </row>
    <row r="132" spans="1:6" x14ac:dyDescent="0.3">
      <c r="A132" s="22">
        <v>64500</v>
      </c>
      <c r="B132" s="22">
        <v>389.97</v>
      </c>
      <c r="C132" s="22">
        <v>120.652</v>
      </c>
      <c r="D132" s="22">
        <v>1.8025699999999999E-4</v>
      </c>
      <c r="E132" s="22">
        <v>968.07600000000002</v>
      </c>
      <c r="F132" s="23">
        <v>2.9913499999999998E-7</v>
      </c>
    </row>
    <row r="133" spans="1:6" x14ac:dyDescent="0.3">
      <c r="A133" s="22">
        <v>65000</v>
      </c>
      <c r="B133" s="22">
        <v>389.97</v>
      </c>
      <c r="C133" s="22">
        <v>117.78700000000001</v>
      </c>
      <c r="D133" s="22">
        <v>1.75976E-4</v>
      </c>
      <c r="E133" s="22">
        <v>968.07600000000002</v>
      </c>
      <c r="F133" s="23">
        <v>2.9913499999999998E-7</v>
      </c>
    </row>
    <row r="134" spans="1:6" x14ac:dyDescent="0.3">
      <c r="A134" s="22">
        <v>65500</v>
      </c>
      <c r="B134" s="22">
        <v>389.97</v>
      </c>
      <c r="C134" s="22">
        <v>114.99</v>
      </c>
      <c r="D134" s="22">
        <v>1.71798E-4</v>
      </c>
      <c r="E134" s="22">
        <v>968.07600000000002</v>
      </c>
      <c r="F134" s="23">
        <v>2.9913499999999998E-7</v>
      </c>
    </row>
    <row r="135" spans="1:6" x14ac:dyDescent="0.3">
      <c r="A135" s="22">
        <v>66000</v>
      </c>
      <c r="B135" s="22">
        <v>390.18</v>
      </c>
      <c r="C135" s="22">
        <v>112.26</v>
      </c>
      <c r="D135" s="22">
        <v>1.67629E-4</v>
      </c>
      <c r="E135" s="22">
        <v>968.33699999999999</v>
      </c>
      <c r="F135" s="23">
        <v>2.9927299999999998E-7</v>
      </c>
    </row>
    <row r="136" spans="1:6" x14ac:dyDescent="0.3">
      <c r="A136" s="22">
        <v>66500</v>
      </c>
      <c r="B136" s="22">
        <v>390.45499999999998</v>
      </c>
      <c r="C136" s="22">
        <v>109.59699999999999</v>
      </c>
      <c r="D136" s="22">
        <v>1.63537E-4</v>
      </c>
      <c r="E136" s="22">
        <v>968.67700000000002</v>
      </c>
      <c r="F136" s="23">
        <v>2.9945299999999997E-7</v>
      </c>
    </row>
    <row r="137" spans="1:6" x14ac:dyDescent="0.3">
      <c r="A137" s="22">
        <v>67000</v>
      </c>
      <c r="B137" s="22">
        <v>390.72899999999998</v>
      </c>
      <c r="C137" s="22">
        <v>106.998</v>
      </c>
      <c r="D137" s="22">
        <v>1.59548E-4</v>
      </c>
      <c r="E137" s="22">
        <v>969.01700000000005</v>
      </c>
      <c r="F137" s="23">
        <v>2.9963300000000002E-7</v>
      </c>
    </row>
    <row r="138" spans="1:6" x14ac:dyDescent="0.3">
      <c r="A138" s="22">
        <v>67500</v>
      </c>
      <c r="B138" s="22">
        <v>391.00299999999999</v>
      </c>
      <c r="C138" s="22">
        <v>104.46299999999999</v>
      </c>
      <c r="D138" s="22">
        <v>1.5565899999999999E-4</v>
      </c>
      <c r="E138" s="22">
        <v>969.35799999999995</v>
      </c>
      <c r="F138" s="23">
        <v>2.9981300000000001E-7</v>
      </c>
    </row>
    <row r="139" spans="1:6" x14ac:dyDescent="0.3">
      <c r="A139" s="22">
        <v>68000</v>
      </c>
      <c r="B139" s="22">
        <v>391.27800000000002</v>
      </c>
      <c r="C139" s="22">
        <v>101.99</v>
      </c>
      <c r="D139" s="22">
        <v>1.51867E-4</v>
      </c>
      <c r="E139" s="22">
        <v>969.69799999999998</v>
      </c>
      <c r="F139" s="23">
        <v>2.99993E-7</v>
      </c>
    </row>
    <row r="140" spans="1:6" x14ac:dyDescent="0.3">
      <c r="A140" s="22">
        <v>68500</v>
      </c>
      <c r="B140" s="22">
        <v>391.55200000000002</v>
      </c>
      <c r="C140" s="22">
        <v>99.577200000000005</v>
      </c>
      <c r="D140" s="22">
        <v>1.4817000000000001E-4</v>
      </c>
      <c r="E140" s="22">
        <v>970.03700000000003</v>
      </c>
      <c r="F140" s="23">
        <v>3.00173E-7</v>
      </c>
    </row>
    <row r="141" spans="1:6" x14ac:dyDescent="0.3">
      <c r="A141" s="22">
        <v>69000</v>
      </c>
      <c r="B141" s="22">
        <v>391.82600000000002</v>
      </c>
      <c r="C141" s="22">
        <v>97.222999999999999</v>
      </c>
      <c r="D141" s="22">
        <v>1.44566E-4</v>
      </c>
      <c r="E141" s="22">
        <v>970.37699999999995</v>
      </c>
      <c r="F141" s="23">
        <v>3.0035299999999999E-7</v>
      </c>
    </row>
    <row r="142" spans="1:6" x14ac:dyDescent="0.3">
      <c r="A142" s="22">
        <v>69500</v>
      </c>
      <c r="B142" s="22">
        <v>392.1</v>
      </c>
      <c r="C142" s="22">
        <v>94.926000000000002</v>
      </c>
      <c r="D142" s="22">
        <v>1.41051E-4</v>
      </c>
      <c r="E142" s="22">
        <v>970.71699999999998</v>
      </c>
      <c r="F142" s="23">
        <v>3.0053299999999998E-7</v>
      </c>
    </row>
    <row r="143" spans="1:6" x14ac:dyDescent="0.3">
      <c r="A143" s="22">
        <v>70000</v>
      </c>
      <c r="B143" s="22">
        <v>392.375</v>
      </c>
      <c r="C143" s="22">
        <v>92.684799999999996</v>
      </c>
      <c r="D143" s="22">
        <v>1.37625E-4</v>
      </c>
      <c r="E143" s="22">
        <v>971.05600000000004</v>
      </c>
      <c r="F143" s="23">
        <v>3.00712E-7</v>
      </c>
    </row>
    <row r="144" spans="1:6" x14ac:dyDescent="0.3">
      <c r="A144" s="22">
        <v>70500</v>
      </c>
      <c r="B144" s="22">
        <v>392.649</v>
      </c>
      <c r="C144" s="22">
        <v>90.498099999999994</v>
      </c>
      <c r="D144" s="22">
        <v>1.34284E-4</v>
      </c>
      <c r="E144" s="22">
        <v>971.39599999999996</v>
      </c>
      <c r="F144" s="23">
        <v>3.0089199999999999E-7</v>
      </c>
    </row>
    <row r="145" spans="1:6" x14ac:dyDescent="0.3">
      <c r="A145" s="22">
        <v>71000</v>
      </c>
      <c r="B145" s="22">
        <v>392.923</v>
      </c>
      <c r="C145" s="22">
        <v>88.364400000000003</v>
      </c>
      <c r="D145" s="22">
        <v>1.3102599999999999E-4</v>
      </c>
      <c r="E145" s="22">
        <v>971.73500000000001</v>
      </c>
      <c r="F145" s="23">
        <v>3.0107199999999998E-7</v>
      </c>
    </row>
    <row r="146" spans="1:6" x14ac:dyDescent="0.3">
      <c r="A146" s="22">
        <v>71500</v>
      </c>
      <c r="B146" s="22">
        <v>393.19799999999998</v>
      </c>
      <c r="C146" s="22">
        <v>86.282499999999999</v>
      </c>
      <c r="D146" s="22">
        <v>1.2784999999999999E-4</v>
      </c>
      <c r="E146" s="22">
        <v>972.07399999999996</v>
      </c>
      <c r="F146" s="23">
        <v>3.01251E-7</v>
      </c>
    </row>
    <row r="147" spans="1:6" x14ac:dyDescent="0.3">
      <c r="A147" s="22">
        <v>72000</v>
      </c>
      <c r="B147" s="22">
        <v>393.47199999999998</v>
      </c>
      <c r="C147" s="22">
        <v>84.251000000000005</v>
      </c>
      <c r="D147" s="22">
        <v>1.2475299999999999E-4</v>
      </c>
      <c r="E147" s="22">
        <v>972.41300000000001</v>
      </c>
      <c r="F147" s="23">
        <v>3.0143099999999999E-7</v>
      </c>
    </row>
    <row r="148" spans="1:6" x14ac:dyDescent="0.3">
      <c r="A148" s="22">
        <v>72500</v>
      </c>
      <c r="B148" s="22">
        <v>393.74599999999998</v>
      </c>
      <c r="C148" s="22">
        <v>82.268699999999995</v>
      </c>
      <c r="D148" s="22">
        <v>1.2173299999999999E-4</v>
      </c>
      <c r="E148" s="22">
        <v>972.75199999999995</v>
      </c>
      <c r="F148" s="23">
        <v>3.0161099999999999E-7</v>
      </c>
    </row>
    <row r="149" spans="1:6" x14ac:dyDescent="0.3">
      <c r="A149" s="22">
        <v>73000</v>
      </c>
      <c r="B149" s="22">
        <v>394.02100000000002</v>
      </c>
      <c r="C149" s="22">
        <v>80.334400000000002</v>
      </c>
      <c r="D149" s="22">
        <v>1.18788E-4</v>
      </c>
      <c r="E149" s="22">
        <v>973.09100000000001</v>
      </c>
      <c r="F149" s="23">
        <v>3.0179E-7</v>
      </c>
    </row>
    <row r="150" spans="1:6" x14ac:dyDescent="0.3">
      <c r="A150" s="22">
        <v>73500</v>
      </c>
      <c r="B150" s="22">
        <v>394.29500000000002</v>
      </c>
      <c r="C150" s="22">
        <v>78.446799999999996</v>
      </c>
      <c r="D150" s="22">
        <v>1.1591600000000001E-4</v>
      </c>
      <c r="E150" s="22">
        <v>973.43</v>
      </c>
      <c r="F150" s="23">
        <v>3.0196900000000002E-7</v>
      </c>
    </row>
    <row r="151" spans="1:6" x14ac:dyDescent="0.3">
      <c r="A151" s="22">
        <v>74000</v>
      </c>
      <c r="B151" s="22">
        <v>394.56900000000002</v>
      </c>
      <c r="C151" s="22">
        <v>76.604900000000001</v>
      </c>
      <c r="D151" s="22">
        <v>1.1311600000000001E-4</v>
      </c>
      <c r="E151" s="22">
        <v>973.76800000000003</v>
      </c>
      <c r="F151" s="23">
        <v>3.0214900000000001E-7</v>
      </c>
    </row>
    <row r="152" spans="1:6" x14ac:dyDescent="0.3">
      <c r="A152" s="22">
        <v>74500</v>
      </c>
      <c r="B152" s="22">
        <v>394.84399999999999</v>
      </c>
      <c r="C152" s="22">
        <v>74.807500000000005</v>
      </c>
      <c r="D152" s="22">
        <v>1.1038499999999999E-4</v>
      </c>
      <c r="E152" s="22">
        <v>974.10699999999997</v>
      </c>
      <c r="F152" s="23">
        <v>3.0232799999999998E-7</v>
      </c>
    </row>
    <row r="153" spans="1:6" x14ac:dyDescent="0.3">
      <c r="A153" s="22">
        <v>75000</v>
      </c>
      <c r="B153" s="22">
        <v>395.11799999999999</v>
      </c>
      <c r="C153" s="22">
        <v>73.053399999999996</v>
      </c>
      <c r="D153" s="22">
        <v>1.07722E-4</v>
      </c>
      <c r="E153" s="22">
        <v>974.44500000000005</v>
      </c>
      <c r="F153" s="23">
        <v>3.02507E-7</v>
      </c>
    </row>
    <row r="154" spans="1:6" x14ac:dyDescent="0.3">
      <c r="A154" s="22">
        <v>75500</v>
      </c>
      <c r="B154" s="22">
        <v>395.392</v>
      </c>
      <c r="C154" s="22">
        <v>71.341700000000003</v>
      </c>
      <c r="D154" s="22">
        <v>1.0512499999999999E-4</v>
      </c>
      <c r="E154" s="22">
        <v>974.78300000000002</v>
      </c>
      <c r="F154" s="23">
        <v>3.0268699999999999E-7</v>
      </c>
    </row>
    <row r="155" spans="1:6" x14ac:dyDescent="0.3">
      <c r="A155" s="22">
        <v>76000</v>
      </c>
      <c r="B155" s="22">
        <v>395.66699999999997</v>
      </c>
      <c r="C155" s="22">
        <v>69.671199999999999</v>
      </c>
      <c r="D155" s="22">
        <v>1.02592E-4</v>
      </c>
      <c r="E155" s="22">
        <v>975.12099999999998</v>
      </c>
      <c r="F155" s="23">
        <v>3.0286600000000001E-7</v>
      </c>
    </row>
    <row r="156" spans="1:6" x14ac:dyDescent="0.3">
      <c r="A156" s="22">
        <v>76500</v>
      </c>
      <c r="B156" s="22">
        <v>395.94099999999997</v>
      </c>
      <c r="C156" s="22">
        <v>68.040899999999993</v>
      </c>
      <c r="D156" s="22">
        <v>1.00122E-4</v>
      </c>
      <c r="E156" s="22">
        <v>975.45899999999995</v>
      </c>
      <c r="F156" s="23">
        <v>3.0304500000000002E-7</v>
      </c>
    </row>
    <row r="157" spans="1:6" x14ac:dyDescent="0.3">
      <c r="A157" s="22">
        <v>77000</v>
      </c>
      <c r="B157" s="22">
        <v>396.21499999999997</v>
      </c>
      <c r="C157" s="22">
        <v>66.4499</v>
      </c>
      <c r="D157" s="22">
        <v>9.7713099999999998E-5</v>
      </c>
      <c r="E157" s="22">
        <v>975.79700000000003</v>
      </c>
      <c r="F157" s="23">
        <v>3.0322399999999999E-7</v>
      </c>
    </row>
    <row r="158" spans="1:6" x14ac:dyDescent="0.3">
      <c r="A158" s="22">
        <v>77500</v>
      </c>
      <c r="B158" s="22">
        <v>396.49</v>
      </c>
      <c r="C158" s="22">
        <v>64.897099999999995</v>
      </c>
      <c r="D158" s="22">
        <v>9.5363800000000003E-5</v>
      </c>
      <c r="E158" s="22">
        <v>976.13499999999999</v>
      </c>
      <c r="F158" s="23">
        <v>3.0340300000000001E-7</v>
      </c>
    </row>
    <row r="159" spans="1:6" x14ac:dyDescent="0.3">
      <c r="A159" s="22">
        <v>78000</v>
      </c>
      <c r="B159" s="22">
        <v>396.76400000000001</v>
      </c>
      <c r="C159" s="22">
        <v>63.381700000000002</v>
      </c>
      <c r="D159" s="22">
        <v>9.30725E-5</v>
      </c>
      <c r="E159" s="22">
        <v>976.47199999999998</v>
      </c>
      <c r="F159" s="23">
        <v>3.0358200000000002E-7</v>
      </c>
    </row>
    <row r="160" spans="1:6" x14ac:dyDescent="0.3">
      <c r="A160" s="22">
        <v>78500</v>
      </c>
      <c r="B160" s="22">
        <v>397.03800000000001</v>
      </c>
      <c r="C160" s="22">
        <v>61.902700000000003</v>
      </c>
      <c r="D160" s="22">
        <v>9.08378E-5</v>
      </c>
      <c r="E160" s="22">
        <v>976.81</v>
      </c>
      <c r="F160" s="23">
        <v>3.0376099999999999E-7</v>
      </c>
    </row>
    <row r="161" spans="1:6" x14ac:dyDescent="0.3">
      <c r="A161" s="22">
        <v>79000</v>
      </c>
      <c r="B161" s="22">
        <v>397.31299999999999</v>
      </c>
      <c r="C161" s="22">
        <v>60.459099999999999</v>
      </c>
      <c r="D161" s="22">
        <v>8.8658200000000004E-5</v>
      </c>
      <c r="E161" s="22">
        <v>977.14700000000005</v>
      </c>
      <c r="F161" s="23">
        <v>3.0394000000000001E-7</v>
      </c>
    </row>
    <row r="162" spans="1:6" x14ac:dyDescent="0.3">
      <c r="A162" s="22">
        <v>79500</v>
      </c>
      <c r="B162" s="22">
        <v>397.58699999999999</v>
      </c>
      <c r="C162" s="22">
        <v>59.050199999999997</v>
      </c>
      <c r="D162" s="22">
        <v>8.6532400000000005E-5</v>
      </c>
      <c r="E162" s="22">
        <v>977.48400000000004</v>
      </c>
      <c r="F162" s="23">
        <v>3.0411900000000002E-7</v>
      </c>
    </row>
    <row r="163" spans="1:6" x14ac:dyDescent="0.3">
      <c r="A163" s="22">
        <v>80000</v>
      </c>
      <c r="B163" s="22">
        <v>397.86099999999999</v>
      </c>
      <c r="C163" s="22">
        <v>57.6751</v>
      </c>
      <c r="D163" s="22">
        <v>8.4458999999999999E-5</v>
      </c>
      <c r="E163" s="22">
        <v>977.822</v>
      </c>
      <c r="F163" s="23">
        <v>3.0429700000000001E-7</v>
      </c>
    </row>
    <row r="164" spans="1:6" x14ac:dyDescent="0.3">
      <c r="A164" s="22">
        <v>80500</v>
      </c>
      <c r="B164" s="22">
        <v>398.13600000000002</v>
      </c>
      <c r="C164" s="22">
        <v>56.332900000000002</v>
      </c>
      <c r="D164" s="22">
        <v>8.2436700000000003E-5</v>
      </c>
      <c r="E164" s="22">
        <v>978.15899999999999</v>
      </c>
      <c r="F164" s="23">
        <v>3.0447599999999998E-7</v>
      </c>
    </row>
    <row r="165" spans="1:6" x14ac:dyDescent="0.3">
      <c r="A165" s="22">
        <v>81000</v>
      </c>
      <c r="B165" s="22">
        <v>398.41</v>
      </c>
      <c r="C165" s="22">
        <v>55.022799999999997</v>
      </c>
      <c r="D165" s="22">
        <v>8.0464100000000001E-5</v>
      </c>
      <c r="E165" s="22">
        <v>978.49599999999998</v>
      </c>
      <c r="F165" s="23">
        <v>3.04655E-7</v>
      </c>
    </row>
    <row r="166" spans="1:6" x14ac:dyDescent="0.3">
      <c r="A166" s="22">
        <v>81500</v>
      </c>
      <c r="B166" s="22">
        <v>398.68400000000003</v>
      </c>
      <c r="C166" s="22">
        <v>53.744</v>
      </c>
      <c r="D166" s="22">
        <v>7.8540000000000004E-5</v>
      </c>
      <c r="E166" s="22">
        <v>978.83199999999999</v>
      </c>
      <c r="F166" s="23">
        <v>3.0483299999999999E-7</v>
      </c>
    </row>
    <row r="167" spans="1:6" x14ac:dyDescent="0.3">
      <c r="A167" s="22">
        <v>82000</v>
      </c>
      <c r="B167" s="22">
        <v>398.95800000000003</v>
      </c>
      <c r="C167" s="22">
        <v>52.495899999999999</v>
      </c>
      <c r="D167" s="22">
        <v>7.6663199999999995E-5</v>
      </c>
      <c r="E167" s="22">
        <v>979.16899999999998</v>
      </c>
      <c r="F167" s="23">
        <v>3.0501200000000001E-7</v>
      </c>
    </row>
    <row r="168" spans="1:6" x14ac:dyDescent="0.3">
      <c r="A168" s="22">
        <v>82500</v>
      </c>
      <c r="B168" s="22">
        <v>399.233</v>
      </c>
      <c r="C168" s="22">
        <v>51.277500000000003</v>
      </c>
      <c r="D168" s="22">
        <v>7.4832499999999999E-5</v>
      </c>
      <c r="E168" s="22">
        <v>979.50599999999997</v>
      </c>
      <c r="F168" s="23">
        <v>3.0519E-7</v>
      </c>
    </row>
    <row r="169" spans="1:6" x14ac:dyDescent="0.3">
      <c r="A169" s="22">
        <v>83000</v>
      </c>
      <c r="B169" s="22">
        <v>399.50700000000001</v>
      </c>
      <c r="C169" s="22">
        <v>50.088200000000001</v>
      </c>
      <c r="D169" s="22">
        <v>7.30467E-5</v>
      </c>
      <c r="E169" s="22">
        <v>979.84199999999998</v>
      </c>
      <c r="F169" s="23">
        <v>3.0536900000000001E-7</v>
      </c>
    </row>
    <row r="170" spans="1:6" x14ac:dyDescent="0.3">
      <c r="A170" s="22">
        <v>83500</v>
      </c>
      <c r="B170" s="22">
        <v>399.78100000000001</v>
      </c>
      <c r="C170" s="22">
        <v>48.927300000000002</v>
      </c>
      <c r="D170" s="22">
        <v>7.1304700000000002E-5</v>
      </c>
      <c r="E170" s="22">
        <v>980.178</v>
      </c>
      <c r="F170" s="23">
        <v>3.05547E-7</v>
      </c>
    </row>
    <row r="171" spans="1:6" x14ac:dyDescent="0.3">
      <c r="A171" s="22">
        <v>84000</v>
      </c>
      <c r="B171" s="22">
        <v>400.05599999999998</v>
      </c>
      <c r="C171" s="22">
        <v>47.7941</v>
      </c>
      <c r="D171" s="22">
        <v>6.9605399999999996E-5</v>
      </c>
      <c r="E171" s="22">
        <v>980.51499999999999</v>
      </c>
      <c r="F171" s="23">
        <v>3.0572600000000002E-7</v>
      </c>
    </row>
    <row r="172" spans="1:6" x14ac:dyDescent="0.3">
      <c r="A172" s="22">
        <v>84500</v>
      </c>
      <c r="B172" s="22">
        <v>400.33</v>
      </c>
      <c r="C172" s="22">
        <v>46.687899999999999</v>
      </c>
      <c r="D172" s="22">
        <v>6.7947799999999993E-5</v>
      </c>
      <c r="E172" s="22">
        <v>980.851</v>
      </c>
      <c r="F172" s="23">
        <v>3.0590400000000001E-7</v>
      </c>
    </row>
    <row r="173" spans="1:6" x14ac:dyDescent="0.3">
      <c r="A173" s="22">
        <v>85000</v>
      </c>
      <c r="B173" s="22">
        <v>400.60399999999998</v>
      </c>
      <c r="C173" s="22">
        <v>45.607999999999997</v>
      </c>
      <c r="D173" s="22">
        <v>6.6330700000000005E-5</v>
      </c>
      <c r="E173" s="22">
        <v>981.18700000000001</v>
      </c>
      <c r="F173" s="23">
        <v>3.06082E-7</v>
      </c>
    </row>
    <row r="174" spans="1:6" x14ac:dyDescent="0.3">
      <c r="A174" s="22">
        <v>85500</v>
      </c>
      <c r="B174" s="22">
        <v>400.87900000000002</v>
      </c>
      <c r="C174" s="22">
        <v>44.553800000000003</v>
      </c>
      <c r="D174" s="22">
        <v>6.4753199999999995E-5</v>
      </c>
      <c r="E174" s="22">
        <v>981.52300000000002</v>
      </c>
      <c r="F174" s="23">
        <v>3.0625999999999999E-7</v>
      </c>
    </row>
    <row r="175" spans="1:6" x14ac:dyDescent="0.3">
      <c r="A175" s="22">
        <v>86000</v>
      </c>
      <c r="B175" s="22">
        <v>401.15300000000002</v>
      </c>
      <c r="C175" s="22">
        <v>43.5246</v>
      </c>
      <c r="D175" s="22">
        <v>6.3214199999999995E-5</v>
      </c>
      <c r="E175" s="22">
        <v>981.85799999999995</v>
      </c>
      <c r="F175" s="23">
        <v>3.0643799999999998E-7</v>
      </c>
    </row>
    <row r="176" spans="1:6" x14ac:dyDescent="0.3">
      <c r="A176" s="22">
        <v>86500</v>
      </c>
      <c r="B176" s="22">
        <v>401.42700000000002</v>
      </c>
      <c r="C176" s="22">
        <v>42.5199</v>
      </c>
      <c r="D176" s="22">
        <v>6.1712799999999996E-5</v>
      </c>
      <c r="E176" s="22">
        <v>982.19399999999996</v>
      </c>
      <c r="F176" s="23">
        <v>3.0661600000000002E-7</v>
      </c>
    </row>
    <row r="177" spans="1:6" x14ac:dyDescent="0.3">
      <c r="A177" s="22">
        <v>87000</v>
      </c>
      <c r="B177" s="22">
        <v>401.702</v>
      </c>
      <c r="C177" s="22">
        <v>41.539099999999998</v>
      </c>
      <c r="D177" s="22">
        <v>6.0248099999999997E-5</v>
      </c>
      <c r="E177" s="22">
        <v>982.53</v>
      </c>
      <c r="F177" s="23">
        <v>3.0679499999999999E-7</v>
      </c>
    </row>
    <row r="178" spans="1:6" x14ac:dyDescent="0.3">
      <c r="A178" s="22">
        <v>87500</v>
      </c>
      <c r="B178" s="22">
        <v>401.976</v>
      </c>
      <c r="C178" s="22">
        <v>40.581499999999998</v>
      </c>
      <c r="D178" s="22">
        <v>5.8819E-5</v>
      </c>
      <c r="E178" s="22">
        <v>982.86500000000001</v>
      </c>
      <c r="F178" s="23">
        <v>3.0697299999999998E-7</v>
      </c>
    </row>
    <row r="179" spans="1:6" x14ac:dyDescent="0.3">
      <c r="A179" s="22">
        <v>88000</v>
      </c>
      <c r="B179" s="22">
        <v>402.25</v>
      </c>
      <c r="C179" s="22">
        <v>39.646700000000003</v>
      </c>
      <c r="D179" s="22">
        <v>5.74249E-5</v>
      </c>
      <c r="E179" s="22">
        <v>983.2</v>
      </c>
      <c r="F179" s="23">
        <v>3.0714999999999999E-7</v>
      </c>
    </row>
    <row r="180" spans="1:6" x14ac:dyDescent="0.3">
      <c r="A180" s="22">
        <v>88500</v>
      </c>
      <c r="B180" s="22">
        <v>402.52499999999998</v>
      </c>
      <c r="C180" s="22">
        <v>38.734000000000002</v>
      </c>
      <c r="D180" s="22">
        <v>5.6064699999999999E-5</v>
      </c>
      <c r="E180" s="22">
        <v>983.53599999999994</v>
      </c>
      <c r="F180" s="23">
        <v>3.0732799999999998E-7</v>
      </c>
    </row>
    <row r="181" spans="1:6" x14ac:dyDescent="0.3">
      <c r="A181" s="22">
        <v>89000</v>
      </c>
      <c r="B181" s="22">
        <v>402.79899999999998</v>
      </c>
      <c r="C181" s="22">
        <v>37.8429</v>
      </c>
      <c r="D181" s="22">
        <v>5.4737600000000003E-5</v>
      </c>
      <c r="E181" s="22">
        <v>983.87099999999998</v>
      </c>
      <c r="F181" s="23">
        <v>3.0750599999999997E-7</v>
      </c>
    </row>
    <row r="182" spans="1:6" x14ac:dyDescent="0.3">
      <c r="A182" s="22">
        <v>89500</v>
      </c>
      <c r="B182" s="22">
        <v>403.07299999999998</v>
      </c>
      <c r="C182" s="22">
        <v>36.972900000000003</v>
      </c>
      <c r="D182" s="22">
        <v>5.3442800000000003E-5</v>
      </c>
      <c r="E182" s="22">
        <v>984.20600000000002</v>
      </c>
      <c r="F182" s="23">
        <v>3.0768400000000002E-7</v>
      </c>
    </row>
    <row r="183" spans="1:6" x14ac:dyDescent="0.3">
      <c r="A183" s="22">
        <v>90000</v>
      </c>
      <c r="B183" s="22">
        <v>403.34800000000001</v>
      </c>
      <c r="C183" s="22">
        <v>36.123399999999997</v>
      </c>
      <c r="D183" s="22">
        <v>5.2179399999999997E-5</v>
      </c>
      <c r="E183" s="22">
        <v>984.54100000000005</v>
      </c>
      <c r="F183" s="23">
        <v>3.0786200000000001E-7</v>
      </c>
    </row>
    <row r="184" spans="1:6" x14ac:dyDescent="0.3">
      <c r="A184" s="22">
        <v>90500</v>
      </c>
      <c r="B184" s="22">
        <v>403.62200000000001</v>
      </c>
      <c r="C184" s="22">
        <v>35.2941</v>
      </c>
      <c r="D184" s="22">
        <v>5.0946799999999998E-5</v>
      </c>
      <c r="E184" s="22">
        <v>984.875</v>
      </c>
      <c r="F184" s="23">
        <v>3.0803900000000002E-7</v>
      </c>
    </row>
    <row r="185" spans="1:6" x14ac:dyDescent="0.3">
      <c r="A185" s="22">
        <v>91000</v>
      </c>
      <c r="B185" s="22">
        <v>403.89600000000002</v>
      </c>
      <c r="C185" s="22">
        <v>34.484299999999998</v>
      </c>
      <c r="D185" s="22">
        <v>4.9744099999999997E-5</v>
      </c>
      <c r="E185" s="22">
        <v>985.21</v>
      </c>
      <c r="F185" s="23">
        <v>3.0821700000000001E-7</v>
      </c>
    </row>
    <row r="186" spans="1:6" x14ac:dyDescent="0.3">
      <c r="A186" s="22">
        <v>91500</v>
      </c>
      <c r="B186" s="22">
        <v>404.17099999999999</v>
      </c>
      <c r="C186" s="22">
        <v>33.693600000000004</v>
      </c>
      <c r="D186" s="22">
        <v>4.8570499999999999E-5</v>
      </c>
      <c r="E186" s="22">
        <v>985.54399999999998</v>
      </c>
      <c r="F186" s="23">
        <v>3.08395E-7</v>
      </c>
    </row>
    <row r="187" spans="1:6" x14ac:dyDescent="0.3">
      <c r="A187" s="22">
        <v>92000</v>
      </c>
      <c r="B187" s="22">
        <v>404.44499999999999</v>
      </c>
      <c r="C187" s="22">
        <v>32.921599999999998</v>
      </c>
      <c r="D187" s="22">
        <v>4.7425400000000002E-5</v>
      </c>
      <c r="E187" s="22">
        <v>985.87900000000002</v>
      </c>
      <c r="F187" s="23">
        <v>3.0857200000000002E-7</v>
      </c>
    </row>
    <row r="188" spans="1:6" x14ac:dyDescent="0.3">
      <c r="A188" s="22">
        <v>92500</v>
      </c>
      <c r="B188" s="22">
        <v>404.71899999999999</v>
      </c>
      <c r="C188" s="22">
        <v>32.1678</v>
      </c>
      <c r="D188" s="22">
        <v>4.6308099999999998E-5</v>
      </c>
      <c r="E188" s="22">
        <v>986.21299999999997</v>
      </c>
      <c r="F188" s="23">
        <v>3.0875000000000001E-7</v>
      </c>
    </row>
    <row r="189" spans="1:6" x14ac:dyDescent="0.3">
      <c r="A189" s="22">
        <v>93000</v>
      </c>
      <c r="B189" s="22">
        <v>404.99400000000003</v>
      </c>
      <c r="C189" s="22">
        <v>31.431699999999999</v>
      </c>
      <c r="D189" s="22">
        <v>4.5217799999999999E-5</v>
      </c>
      <c r="E189" s="22">
        <v>986.54700000000003</v>
      </c>
      <c r="F189" s="23">
        <v>3.0892700000000002E-7</v>
      </c>
    </row>
    <row r="190" spans="1:6" x14ac:dyDescent="0.3">
      <c r="A190" s="22">
        <v>93500</v>
      </c>
      <c r="B190" s="22">
        <v>405.26799999999997</v>
      </c>
      <c r="C190" s="22">
        <v>30.713000000000001</v>
      </c>
      <c r="D190" s="22">
        <v>4.4153899999999998E-5</v>
      </c>
      <c r="E190" s="22">
        <v>986.88099999999997</v>
      </c>
      <c r="F190" s="23">
        <v>3.0910399999999999E-7</v>
      </c>
    </row>
    <row r="191" spans="1:6" x14ac:dyDescent="0.3">
      <c r="A191" s="22">
        <v>94000</v>
      </c>
      <c r="B191" s="22">
        <v>405.54199999999997</v>
      </c>
      <c r="C191" s="22">
        <v>30.011099999999999</v>
      </c>
      <c r="D191" s="22">
        <v>4.3115799999999998E-5</v>
      </c>
      <c r="E191" s="22">
        <v>987.21500000000003</v>
      </c>
      <c r="F191" s="23">
        <v>3.0928199999999998E-7</v>
      </c>
    </row>
    <row r="192" spans="1:6" x14ac:dyDescent="0.3">
      <c r="A192" s="22">
        <v>94500</v>
      </c>
      <c r="B192" s="22">
        <v>405.81599999999997</v>
      </c>
      <c r="C192" s="22">
        <v>29.325800000000001</v>
      </c>
      <c r="D192" s="22">
        <v>4.2102699999999999E-5</v>
      </c>
      <c r="E192" s="22">
        <v>987.54899999999998</v>
      </c>
      <c r="F192" s="23">
        <v>3.0945899999999999E-7</v>
      </c>
    </row>
    <row r="193" spans="1:6" x14ac:dyDescent="0.3">
      <c r="A193" s="22">
        <v>95000</v>
      </c>
      <c r="B193" s="22">
        <v>406.09100000000001</v>
      </c>
      <c r="C193" s="22">
        <v>28.656500000000001</v>
      </c>
      <c r="D193" s="22">
        <v>4.1114E-5</v>
      </c>
      <c r="E193" s="22">
        <v>987.88300000000004</v>
      </c>
      <c r="F193" s="23">
        <v>3.0963600000000001E-7</v>
      </c>
    </row>
    <row r="194" spans="1:6" x14ac:dyDescent="0.3">
      <c r="A194" s="22">
        <v>95500</v>
      </c>
      <c r="B194" s="22">
        <v>406.36500000000001</v>
      </c>
      <c r="C194" s="22">
        <v>28.003</v>
      </c>
      <c r="D194" s="22">
        <v>4.0149299999999999E-5</v>
      </c>
      <c r="E194" s="22">
        <v>988.21600000000001</v>
      </c>
      <c r="F194" s="23">
        <v>3.0981300000000002E-7</v>
      </c>
    </row>
    <row r="195" spans="1:6" x14ac:dyDescent="0.3">
      <c r="A195" s="22">
        <v>96000</v>
      </c>
      <c r="B195" s="22">
        <v>406.63900000000001</v>
      </c>
      <c r="C195" s="22">
        <v>27.364799999999999</v>
      </c>
      <c r="D195" s="22">
        <v>3.9207800000000001E-5</v>
      </c>
      <c r="E195" s="22">
        <v>988.55</v>
      </c>
      <c r="F195" s="23">
        <v>3.0999100000000001E-7</v>
      </c>
    </row>
    <row r="196" spans="1:6" x14ac:dyDescent="0.3">
      <c r="A196" s="22">
        <v>96500</v>
      </c>
      <c r="B196" s="22">
        <v>406.91399999999999</v>
      </c>
      <c r="C196" s="22">
        <v>26.741599999999998</v>
      </c>
      <c r="D196" s="22">
        <v>3.8288999999999999E-5</v>
      </c>
      <c r="E196" s="22">
        <v>988.88300000000004</v>
      </c>
      <c r="F196" s="23">
        <v>3.1016799999999998E-7</v>
      </c>
    </row>
    <row r="197" spans="1:6" x14ac:dyDescent="0.3">
      <c r="A197" s="22">
        <v>97000</v>
      </c>
      <c r="B197" s="22">
        <v>407.18799999999999</v>
      </c>
      <c r="C197" s="22">
        <v>26.132899999999999</v>
      </c>
      <c r="D197" s="22">
        <v>3.7392299999999998E-5</v>
      </c>
      <c r="E197" s="22">
        <v>989.21699999999998</v>
      </c>
      <c r="F197" s="23">
        <v>3.1034499999999999E-7</v>
      </c>
    </row>
    <row r="198" spans="1:6" x14ac:dyDescent="0.3">
      <c r="A198" s="22">
        <v>97500</v>
      </c>
      <c r="B198" s="22">
        <v>407.46199999999999</v>
      </c>
      <c r="C198" s="22">
        <v>25.538499999999999</v>
      </c>
      <c r="D198" s="22">
        <v>3.6517200000000003E-5</v>
      </c>
      <c r="E198" s="22">
        <v>989.55</v>
      </c>
      <c r="F198" s="23">
        <v>3.1052200000000001E-7</v>
      </c>
    </row>
    <row r="199" spans="1:6" x14ac:dyDescent="0.3">
      <c r="A199" s="22">
        <v>98000</v>
      </c>
      <c r="B199" s="22">
        <v>407.73700000000002</v>
      </c>
      <c r="C199" s="22">
        <v>24.957999999999998</v>
      </c>
      <c r="D199" s="22">
        <v>3.5663200000000001E-5</v>
      </c>
      <c r="E199" s="22">
        <v>989.88300000000004</v>
      </c>
      <c r="F199" s="23">
        <v>3.1069900000000002E-7</v>
      </c>
    </row>
    <row r="200" spans="1:6" x14ac:dyDescent="0.3">
      <c r="A200" s="22">
        <v>98500</v>
      </c>
      <c r="B200" s="22">
        <v>408.01100000000002</v>
      </c>
      <c r="C200" s="22">
        <v>24.391100000000002</v>
      </c>
      <c r="D200" s="22">
        <v>3.4829700000000003E-5</v>
      </c>
      <c r="E200" s="22">
        <v>990.21600000000001</v>
      </c>
      <c r="F200" s="23">
        <v>3.1087599999999998E-7</v>
      </c>
    </row>
    <row r="201" spans="1:6" x14ac:dyDescent="0.3">
      <c r="A201" s="22">
        <v>99000</v>
      </c>
      <c r="B201" s="22">
        <v>408.28500000000003</v>
      </c>
      <c r="C201" s="22">
        <v>23.837399999999999</v>
      </c>
      <c r="D201" s="22">
        <v>3.4016200000000001E-5</v>
      </c>
      <c r="E201" s="22">
        <v>990.54899999999998</v>
      </c>
      <c r="F201" s="23">
        <v>3.1105200000000002E-7</v>
      </c>
    </row>
    <row r="202" spans="1:6" x14ac:dyDescent="0.3">
      <c r="A202" s="22">
        <v>99500</v>
      </c>
      <c r="B202" s="22">
        <v>408.56</v>
      </c>
      <c r="C202" s="22">
        <v>23.296700000000001</v>
      </c>
      <c r="D202" s="22">
        <v>3.3222200000000002E-5</v>
      </c>
      <c r="E202" s="22">
        <v>990.88099999999997</v>
      </c>
      <c r="F202" s="23">
        <v>3.1122899999999999E-7</v>
      </c>
    </row>
    <row r="203" spans="1:6" x14ac:dyDescent="0.3">
      <c r="A203" s="22">
        <v>100000</v>
      </c>
      <c r="B203" s="22">
        <v>408.834</v>
      </c>
      <c r="C203" s="22">
        <v>22.768599999999999</v>
      </c>
      <c r="D203" s="22">
        <v>3.2447299999999997E-5</v>
      </c>
      <c r="E203" s="22">
        <v>991.21400000000006</v>
      </c>
      <c r="F203" s="23">
        <v>3.11406E-7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Sref &amp; AR 1</vt:lpstr>
      <vt:lpstr>Trade Study 1</vt:lpstr>
      <vt:lpstr>Trade Study 2</vt:lpstr>
      <vt:lpstr>STDATM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 Mah</dc:creator>
  <cp:lastModifiedBy>Daniel Gruenbauer</cp:lastModifiedBy>
  <dcterms:created xsi:type="dcterms:W3CDTF">2023-09-21T20:17:38Z</dcterms:created>
  <dcterms:modified xsi:type="dcterms:W3CDTF">2026-10-04T23:20:09Z</dcterms:modified>
</cp:coreProperties>
</file>