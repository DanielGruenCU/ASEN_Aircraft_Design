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tables/table1.xml" ContentType="application/vnd.openxmlformats-officedocument.spreadsheetml.table+xml"/>
  <Override PartName="/xl/tables/table2.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book.xml" ContentType="application/vnd.openxmlformats-officedocument.spreadsheetml.sheet.main+xml"/>
  <Override PartName="/xl/media/image25.png" ContentType="image/png"/>
  <Override PartName="/xl/media/image26.png" ContentType="image/png"/>
  <Override PartName="/xl/media/image27.png" ContentType="image/png"/>
  <Override PartName="/xl/sharedStrings.xml" ContentType="application/vnd.openxmlformats-officedocument.spreadsheetml.sharedStrings+xml"/>
  <Override PartName="/xl/comments4.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Variable Reference" sheetId="1" state="visible" r:id="rId2"/>
    <sheet name="Main_Input" sheetId="2" state="visible" r:id="rId3"/>
    <sheet name="Airfoil_Data" sheetId="3" state="visible" r:id="rId4"/>
    <sheet name="Propulsion" sheetId="4" state="visible" r:id="rId5"/>
    <sheet name="Lists" sheetId="5" state="visible" r:id="rId6"/>
    <sheet name="Geometry Reference" sheetId="6" state="visible" r:id="rId7"/>
  </sheets>
  <definedNames>
    <definedName function="false" hidden="false" name="MATERIALS" vbProcedure="false">#REF!</definedName>
    <definedName function="false" hidden="false" localSheetId="0" name="MATERIALS" vbProcedure="false">#REF!</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 </author>
  </authors>
  <commentList>
    <comment ref="D1" authorId="0">
      <text>
        <r>
          <rPr>
            <b val="true"/>
            <sz val="9"/>
            <color rgb="FF000000"/>
            <rFont val="Tahoma"/>
            <family val="2"/>
            <charset val="1"/>
          </rPr>
          <t xml:space="preserve">John Mah:
</t>
        </r>
        <r>
          <rPr>
            <sz val="9"/>
            <color rgb="FF000000"/>
            <rFont val="Tahoma"/>
            <family val="2"/>
            <charset val="1"/>
          </rPr>
          <t xml:space="preserve">Units:  lbf
Only input values if jet engine, otherwise input "0"</t>
        </r>
      </text>
    </comment>
    <comment ref="E1" authorId="0">
      <text>
        <r>
          <rPr>
            <b val="true"/>
            <sz val="9"/>
            <color rgb="FF000000"/>
            <rFont val="Tahoma"/>
            <family val="2"/>
            <charset val="1"/>
          </rPr>
          <t xml:space="preserve">John Mah:
</t>
        </r>
        <r>
          <rPr>
            <sz val="9"/>
            <color rgb="FF000000"/>
            <rFont val="Tahoma"/>
            <family val="2"/>
            <charset val="1"/>
          </rPr>
          <t xml:space="preserve">Units:  (lb/hr/lb)
Only input values if jet engine, otherwise input "0"</t>
        </r>
      </text>
    </comment>
    <comment ref="F1" authorId="0">
      <text>
        <r>
          <rPr>
            <b val="true"/>
            <sz val="9"/>
            <color rgb="FF000000"/>
            <rFont val="Tahoma"/>
            <family val="2"/>
            <charset val="1"/>
          </rPr>
          <t xml:space="preserve">John Mah:
</t>
        </r>
        <r>
          <rPr>
            <sz val="9"/>
            <color rgb="FF000000"/>
            <rFont val="Tahoma"/>
            <family val="2"/>
            <charset val="1"/>
          </rPr>
          <t xml:space="preserve">Units:  lbf
Only input values if jet engine, otherwise input "0"</t>
        </r>
      </text>
    </comment>
    <comment ref="G1" authorId="0">
      <text>
        <r>
          <rPr>
            <b val="true"/>
            <sz val="9"/>
            <color rgb="FF000000"/>
            <rFont val="Tahoma"/>
            <family val="2"/>
            <charset val="1"/>
          </rPr>
          <t xml:space="preserve">John Mah:
</t>
        </r>
        <r>
          <rPr>
            <sz val="9"/>
            <color rgb="FF000000"/>
            <rFont val="Tahoma"/>
            <family val="2"/>
            <charset val="1"/>
          </rPr>
          <t xml:space="preserve">Units:  (lb/hr/lb)
Only input values if jet engine, otherwise input "0"</t>
        </r>
      </text>
    </comment>
    <comment ref="H1" authorId="0">
      <text>
        <r>
          <rPr>
            <b val="true"/>
            <sz val="9"/>
            <color rgb="FF000000"/>
            <rFont val="Tahoma"/>
            <family val="2"/>
            <charset val="1"/>
          </rPr>
          <t xml:space="preserve">John Mah:
</t>
        </r>
        <r>
          <rPr>
            <sz val="9"/>
            <color rgb="FF000000"/>
            <rFont val="Tahoma"/>
            <family val="2"/>
            <charset val="1"/>
          </rPr>
          <t xml:space="preserve">Value from 0 to 1 representing percent loss (i.e. 20% = 0.2)</t>
        </r>
      </text>
    </comment>
    <comment ref="I1" authorId="0">
      <text>
        <r>
          <rPr>
            <b val="true"/>
            <sz val="9"/>
            <color rgb="FF000000"/>
            <rFont val="Tahoma"/>
            <family val="2"/>
            <charset val="1"/>
          </rPr>
          <t xml:space="preserve">John Mah:
</t>
        </r>
        <r>
          <rPr>
            <sz val="9"/>
            <color rgb="FF000000"/>
            <rFont val="Tahoma"/>
            <family val="2"/>
            <charset val="1"/>
          </rPr>
          <t xml:space="preserve">Units: horsepower (hp)
Only input if prop, otherwise set to "0"
</t>
        </r>
      </text>
    </comment>
    <comment ref="J1" authorId="0">
      <text>
        <r>
          <rPr>
            <b val="true"/>
            <sz val="9"/>
            <color rgb="FF000000"/>
            <rFont val="Tahoma"/>
            <family val="2"/>
            <charset val="1"/>
          </rPr>
          <t xml:space="preserve">John Mah:
</t>
        </r>
        <r>
          <rPr>
            <sz val="9"/>
            <color rgb="FF000000"/>
            <rFont val="Tahoma"/>
            <family val="2"/>
            <charset val="1"/>
          </rPr>
          <t xml:space="preserve">Units of lb/hr/hp
</t>
        </r>
      </text>
    </comment>
    <comment ref="K1" authorId="0">
      <text>
        <r>
          <rPr>
            <b val="true"/>
            <sz val="9"/>
            <color rgb="FF000000"/>
            <rFont val="Tahoma"/>
            <family val="2"/>
            <charset val="1"/>
          </rPr>
          <t xml:space="preserve">John Mah:
</t>
        </r>
        <r>
          <rPr>
            <sz val="9"/>
            <color rgb="FF000000"/>
            <rFont val="Tahoma"/>
            <family val="2"/>
            <charset val="1"/>
          </rPr>
          <t xml:space="preserve">Value from 0 to 1 representing percent propeller efficiency (i.e. 70% = 0.7)</t>
        </r>
      </text>
    </comment>
  </commentList>
</comments>
</file>

<file path=xl/sharedStrings.xml><?xml version="1.0" encoding="utf-8"?>
<sst xmlns="http://schemas.openxmlformats.org/spreadsheetml/2006/main" count="473" uniqueCount="248">
  <si>
    <t xml:space="preserve">Worksheet</t>
  </si>
  <si>
    <t xml:space="preserve">Variable Name</t>
  </si>
  <si>
    <t xml:space="preserve">Units</t>
  </si>
  <si>
    <t xml:space="preserve">Description</t>
  </si>
  <si>
    <t xml:space="preserve">Main_Input</t>
  </si>
  <si>
    <t xml:space="preserve">N/A</t>
  </si>
  <si>
    <t xml:space="preserve">User defined configuration number label.  Used to differentiate different designs or trade study variations in designs.</t>
  </si>
  <si>
    <t xml:space="preserve">Aircraft Type. Used for calculating empty weight fraction based on models from Raymer Table 6.1 &amp; 6.2.</t>
  </si>
  <si>
    <t xml:space="preserve">ft</t>
  </si>
  <si>
    <t xml:space="preserve">Design altitude.  Utilized to find standard atmosphere properties in model via the atmos function.  Value is typically left at sea level for conceptual design, but can be selected to represent the most prevalent or important mission altitude expected.</t>
  </si>
  <si>
    <t xml:space="preserve">Estimate of designed Mach. Used to calculate Reynolds number for model analysis of skin friction drag.  Value should be selected to represent the most prevalent or important mission mach expected.</t>
  </si>
  <si>
    <t xml:space="preserve">Max mach for design.</t>
  </si>
  <si>
    <t xml:space="preserve">Length of fuselage.</t>
  </si>
  <si>
    <t xml:space="preserve">Maxium diameter of fuselage.</t>
  </si>
  <si>
    <t xml:space="preserve">Fuselage fineness ratio.  Determined by dividing fuselage length by fuselage diameter.</t>
  </si>
  <si>
    <t xml:space="preserve">ft^2</t>
  </si>
  <si>
    <t xml:space="preserve">Maximum fuselage cross-section area.</t>
  </si>
  <si>
    <t xml:space="preserve">Fuselage base drag cross section area.  Determined by finding the cross section in the aft portion of the fuselage where the departure angle of the fuselage contour is &gt; 20 deg.  If this never occurs, then this value is zero.</t>
  </si>
  <si>
    <t xml:space="preserve">Wetted area of fuselage equal to the total exposed surface area of the fuselage.</t>
  </si>
  <si>
    <t xml:space="preserve">Fuselage interference factor.  Default value is 1.0. for basic streamlined tube fuselage.  Can be &gt; 1.0 if significant fuselage protrusions exist.</t>
  </si>
  <si>
    <t xml:space="preserve">Emperical Wave Drag Factor.  Example valuse:  1 = Ideal Sears-Haack Body, Typcial range for supersonic aircraft is 1.8 - 2.2 for clean, smoothly blended contoured design, 2.5 - 3 = Bumpy volume distribution.  An F-15 has an EWD around 2.9.</t>
  </si>
  <si>
    <t xml:space="preserve">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</si>
  <si>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</si>
  <si>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 xml:space="preserve">Aspect ratio of the wing.  See Wing Geometry reference sheet for equation.</t>
  </si>
  <si>
    <t xml:space="preserve">Taper ratio of the wing (ratio of root chord to tip chord length). See Wing Geometry reference sheet for equation.</t>
  </si>
  <si>
    <t xml:space="preserve">deg</t>
  </si>
  <si>
    <t xml:space="preserve">Leading edge sweep of the main wing.</t>
  </si>
  <si>
    <t xml:space="preserve">Sweep angle of the line connecting the quarter chord of the main wing from root to tip.</t>
  </si>
  <si>
    <t xml:space="preserve">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</si>
  <si>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</si>
  <si>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</si>
  <si>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 xml:space="preserve">Aspect ratio of horizontal stabilizer #1. See Wing Geometry reference sheet for equation.</t>
  </si>
  <si>
    <t xml:space="preserve">Taper ratio of the horizontal stabilizer #1 (ratio of root chord to tip chord length). See Wing Geometry reference sheet for equation.</t>
  </si>
  <si>
    <t xml:space="preserve">Leading edge sweep of the horizontal stabilizer #1.</t>
  </si>
  <si>
    <t xml:space="preserve">Estimate of the mean aerodynamic chord of the horizontal stabilizer #1.  Can roughly estimate by taking the average of the root chord and tip chord of the horizontal stabilizer.  Utilized to determine Reynolds number effects for horizontal tail.</t>
  </si>
  <si>
    <t xml:space="preserve">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</si>
  <si>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Aspect ratio of horizontal stabilizer #2. See Wing Geometry reference sheet for equation.</t>
  </si>
  <si>
    <t xml:space="preserve">Taper ratio of the horizontal stabilizer #2 (ratio of root chord to tip chord length). See Wing Geometry reference sheet for equation.</t>
  </si>
  <si>
    <t xml:space="preserve">Leading edge sweep of the horizontal stabilizer #2.</t>
  </si>
  <si>
    <t xml:space="preserve">Estimate of the mean aerodynamic chord of the horizontal stabilizer #2.  Can roughly estimate by taking the average of the root chord and tip chord of the horizontal stabilizer.  Utilized to determine Reynolds number effects for horizontal tail.</t>
  </si>
  <si>
    <t xml:space="preserve">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</si>
  <si>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</si>
  <si>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</si>
  <si>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 xml:space="preserve">Aspect ratio of vertical stabilizer #1. See Wing Geometry reference sheet for equation.</t>
  </si>
  <si>
    <t xml:space="preserve">Taper ratio of the vertical stabilizer #1 (ratio of root chord to tip chord length). See Wing Geometry reference sheet for equation.</t>
  </si>
  <si>
    <t xml:space="preserve">Leading edge sweep of the vertical stabilizer #1.</t>
  </si>
  <si>
    <t xml:space="preserve">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</si>
  <si>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</si>
  <si>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</si>
  <si>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</si>
  <si>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 xml:space="preserve">Aspect ratio of vertical stabilizer #2. See Wing Geometry reference sheet for equation.</t>
  </si>
  <si>
    <t xml:space="preserve">Taper ratio of the vertical stabilizer #2 (ratio of root chord to tip chord length). See Wing Geometry reference sheet for equation.</t>
  </si>
  <si>
    <t xml:space="preserve">Leading edge sweep of the vertical stabilizer #2.</t>
  </si>
  <si>
    <t xml:space="preserve">Estimate of the mean aerodynamic chord of the vertical stabilizer #2.  Can roughly estimate by taking the average of the root chord and tip chord of the vertical stabilizer.  Utilized to determine Reynolds number effects for vertical tail.</t>
  </si>
  <si>
    <t xml:space="preserve">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</si>
  <si>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Airfoil_Data</t>
  </si>
  <si>
    <t xml:space="preserve">Config</t>
  </si>
  <si>
    <t xml:space="preserve">User defined configuration number label.  Must align with configuration name / row on Main_Input.</t>
  </si>
  <si>
    <t xml:space="preserve">Airfoil_w</t>
  </si>
  <si>
    <t xml:space="preserve">Main wing airfoil name.</t>
  </si>
  <si>
    <t xml:space="preserve">Thick_w</t>
  </si>
  <si>
    <t xml:space="preserve">Main wing airfoil thickness to chord ratio.</t>
  </si>
  <si>
    <t xml:space="preserve">X_thick_w</t>
  </si>
  <si>
    <t xml:space="preserve">Main wing airfoil location of max thickness in percent chord.</t>
  </si>
  <si>
    <t xml:space="preserve">Cl_XXX</t>
  </si>
  <si>
    <t xml:space="preserve">2D airfoil coefficient of lift data from -5 deg AoA to 15 deg AoA (as denoted by value XXX after the Cl_)</t>
  </si>
  <si>
    <t xml:space="preserve">Cl_max</t>
  </si>
  <si>
    <t xml:space="preserve">2D airfoil maximum coefficient of lift</t>
  </si>
  <si>
    <t xml:space="preserve">Cd_XXX</t>
  </si>
  <si>
    <t xml:space="preserve">2D airfoil coefficient of drag data from -5 deg AoA to 15 deg AoA (as denoted by value XXX after the Cd_)</t>
  </si>
  <si>
    <t xml:space="preserve">Cd_min</t>
  </si>
  <si>
    <t xml:space="preserve">Minimum value of airfoil coefficient of drag data.</t>
  </si>
  <si>
    <t xml:space="preserve">Airfoil_h1</t>
  </si>
  <si>
    <t xml:space="preserve">Horizontal stabilizer #1 airfoil name.</t>
  </si>
  <si>
    <t xml:space="preserve">Thick_h1</t>
  </si>
  <si>
    <t xml:space="preserve">Horizontal stabilizer #1 airfoil thickness to chord ratio.</t>
  </si>
  <si>
    <t xml:space="preserve">X_thick_h1</t>
  </si>
  <si>
    <t xml:space="preserve">Horizontal stabilizer #1 airfoil location of max thickness in percent chord.</t>
  </si>
  <si>
    <t xml:space="preserve">Airfoil_h2</t>
  </si>
  <si>
    <t xml:space="preserve">Horizontal stabilizer #2 airfoil name.</t>
  </si>
  <si>
    <t xml:space="preserve">Thick_h2</t>
  </si>
  <si>
    <t xml:space="preserve">Horizontal stabilizer #2 airfoil thickness to chord ratio.</t>
  </si>
  <si>
    <t xml:space="preserve">X_thick_h2</t>
  </si>
  <si>
    <t xml:space="preserve">Horizontal stabilizer #2 airfoil location of max thickness in percent chord.</t>
  </si>
  <si>
    <t xml:space="preserve">Airfoil_v1</t>
  </si>
  <si>
    <t xml:space="preserve">Vertical stabilizer #1 airfoil name.</t>
  </si>
  <si>
    <t xml:space="preserve">Thick_v1</t>
  </si>
  <si>
    <t xml:space="preserve">Vertical stabilizer #1 airfoil thickness to chord ratio.</t>
  </si>
  <si>
    <t xml:space="preserve">X_thick_v1</t>
  </si>
  <si>
    <t xml:space="preserve">Vertical stabilizer #1 airfoil location of max thickness in percent chord.</t>
  </si>
  <si>
    <t xml:space="preserve">Airfoil_v2</t>
  </si>
  <si>
    <t xml:space="preserve">Vertical stabilizer #2 airfoil name.</t>
  </si>
  <si>
    <t xml:space="preserve">Thick_v2</t>
  </si>
  <si>
    <t xml:space="preserve">Vertical stabilizer #2 airfoil thickness to chord ratio.</t>
  </si>
  <si>
    <t xml:space="preserve">X_thick_v2</t>
  </si>
  <si>
    <t xml:space="preserve">Vertical stabilizer #2 airfoil location of max thickness in percent chord.</t>
  </si>
  <si>
    <t xml:space="preserve">Propulsion</t>
  </si>
  <si>
    <t xml:space="preserve">Type of propulsion utilized.  Pull down menu w/ limited options:  PROP_Fuel, PROP_Electric, JET_HBP_Turbofan,JET_LBP_Turbofan</t>
  </si>
  <si>
    <t xml:space="preserve">Number of engines / propulsion systems on aircraft.</t>
  </si>
  <si>
    <t xml:space="preserve">lb</t>
  </si>
  <si>
    <t xml:space="preserve">Static sea level uninstalled thrust without afterburner for a jet engine.  If using a prop driven aircraft, set to zero.</t>
  </si>
  <si>
    <t xml:space="preserve">(lb/hr/lb)</t>
  </si>
  <si>
    <t xml:space="preserve">Thrust specific fuel consupmtion without afterburner for a jet engine. If using a prop driven aircraft, set to zero.</t>
  </si>
  <si>
    <t xml:space="preserve">Static sea level uninstalled thrust with afterburner for a jet engine.  If using a prop driven aircraft or jet engine without afterburner, set to zero.</t>
  </si>
  <si>
    <t xml:space="preserve">Thrust specific fuel consupmtion with afterburner for a jet engine. If using a prop driven aircraft or a jet engine without afterburner, set to zero.</t>
  </si>
  <si>
    <t xml:space="preserve">Installation losses for a jet engine.  Typically 20% = 0.2.</t>
  </si>
  <si>
    <t xml:space="preserve">hp</t>
  </si>
  <si>
    <t xml:space="preserve">Shaft or brake horsepower of engine driving a prop at sea level.  If using a jet engine, set to zero.</t>
  </si>
  <si>
    <t xml:space="preserve">(lb/hr/hp)</t>
  </si>
  <si>
    <t xml:space="preserve">Specific Fuel Consumption for prop engine.  If using a jet engine, set to zero.</t>
  </si>
  <si>
    <t xml:space="preserve">Propellor efficiency.</t>
  </si>
  <si>
    <t xml:space="preserve">ACType</t>
  </si>
  <si>
    <t xml:space="preserve">altitude_o</t>
  </si>
  <si>
    <t xml:space="preserve">M_o</t>
  </si>
  <si>
    <t xml:space="preserve">M_max</t>
  </si>
  <si>
    <t xml:space="preserve">Length_f</t>
  </si>
  <si>
    <t xml:space="preserve">Dia_f</t>
  </si>
  <si>
    <t xml:space="preserve">Fine_f</t>
  </si>
  <si>
    <t xml:space="preserve">Amax_f</t>
  </si>
  <si>
    <t xml:space="preserve">Abase_f</t>
  </si>
  <si>
    <t xml:space="preserve">Swet_f</t>
  </si>
  <si>
    <t xml:space="preserve">Q_f</t>
  </si>
  <si>
    <t xml:space="preserve">EWD</t>
  </si>
  <si>
    <t xml:space="preserve">Sref_w</t>
  </si>
  <si>
    <t xml:space="preserve">Swet_w</t>
  </si>
  <si>
    <t xml:space="preserve">AR_w</t>
  </si>
  <si>
    <t xml:space="preserve">Taper_w</t>
  </si>
  <si>
    <t xml:space="preserve">Sweep_w</t>
  </si>
  <si>
    <t xml:space="preserve">QuarterSweep_w</t>
  </si>
  <si>
    <t xml:space="preserve">Q_w</t>
  </si>
  <si>
    <t xml:space="preserve">Sref-h1</t>
  </si>
  <si>
    <t xml:space="preserve">Swet_h1</t>
  </si>
  <si>
    <t xml:space="preserve">AR_h1</t>
  </si>
  <si>
    <t xml:space="preserve">Taper_h1</t>
  </si>
  <si>
    <t xml:space="preserve">Sweep_h1</t>
  </si>
  <si>
    <t xml:space="preserve">MAC_h1</t>
  </si>
  <si>
    <t xml:space="preserve">Q_h1</t>
  </si>
  <si>
    <t xml:space="preserve">Sref-h2</t>
  </si>
  <si>
    <t xml:space="preserve">Swet_h2</t>
  </si>
  <si>
    <t xml:space="preserve">AR_h2</t>
  </si>
  <si>
    <t xml:space="preserve">Taper_h2</t>
  </si>
  <si>
    <t xml:space="preserve">Sweep_h2</t>
  </si>
  <si>
    <t xml:space="preserve">MAC_h2</t>
  </si>
  <si>
    <t xml:space="preserve">Q_h2</t>
  </si>
  <si>
    <t xml:space="preserve">Sref-v1</t>
  </si>
  <si>
    <t xml:space="preserve">Swet_v1</t>
  </si>
  <si>
    <t xml:space="preserve">AR_v1</t>
  </si>
  <si>
    <t xml:space="preserve">Taper_v1</t>
  </si>
  <si>
    <t xml:space="preserve">Sweep_v1</t>
  </si>
  <si>
    <t xml:space="preserve">MAC_v1</t>
  </si>
  <si>
    <t xml:space="preserve">Q_v1</t>
  </si>
  <si>
    <t xml:space="preserve">Sref-v2</t>
  </si>
  <si>
    <t xml:space="preserve">Swet_v2</t>
  </si>
  <si>
    <t xml:space="preserve">AR_v2</t>
  </si>
  <si>
    <t xml:space="preserve">Taper_v2</t>
  </si>
  <si>
    <t xml:space="preserve">Sweep_v2</t>
  </si>
  <si>
    <t xml:space="preserve">MAC_v2</t>
  </si>
  <si>
    <t xml:space="preserve">Q_v2</t>
  </si>
  <si>
    <t xml:space="preserve">JetSubmersible_FW1.1</t>
  </si>
  <si>
    <t xml:space="preserve">Jet_Fighter</t>
  </si>
  <si>
    <t xml:space="preserve">JetSubmersible_FW1.2</t>
  </si>
  <si>
    <t xml:space="preserve">JetSubmersible_FW1.3</t>
  </si>
  <si>
    <t xml:space="preserve">JetSubmersible_FW1.4</t>
  </si>
  <si>
    <t xml:space="preserve">JetSubmersible_FW1.5</t>
  </si>
  <si>
    <t xml:space="preserve">JetSubmersible_FW2.1</t>
  </si>
  <si>
    <t xml:space="preserve">JetSubmersible_FW2.2</t>
  </si>
  <si>
    <t xml:space="preserve">JetSubmersible_FW2.3</t>
  </si>
  <si>
    <t xml:space="preserve">JetSubmersible_FW2.4</t>
  </si>
  <si>
    <t xml:space="preserve">JetSubmersible_FW2.5</t>
  </si>
  <si>
    <t xml:space="preserve">Cl_neg5</t>
  </si>
  <si>
    <t xml:space="preserve">Cl_neg4</t>
  </si>
  <si>
    <t xml:space="preserve">Cl_neg3</t>
  </si>
  <si>
    <t xml:space="preserve">Cl_neg2</t>
  </si>
  <si>
    <t xml:space="preserve">Cl_neg1</t>
  </si>
  <si>
    <t xml:space="preserve">Cl_0</t>
  </si>
  <si>
    <t xml:space="preserve">Cl_1</t>
  </si>
  <si>
    <t xml:space="preserve">Cl_2</t>
  </si>
  <si>
    <t xml:space="preserve">Cl_3</t>
  </si>
  <si>
    <t xml:space="preserve">Cl_4</t>
  </si>
  <si>
    <t xml:space="preserve">Cl_5</t>
  </si>
  <si>
    <t xml:space="preserve">Cl_6</t>
  </si>
  <si>
    <t xml:space="preserve">Cl_7</t>
  </si>
  <si>
    <t xml:space="preserve">Cl_8</t>
  </si>
  <si>
    <t xml:space="preserve">Cl_9</t>
  </si>
  <si>
    <t xml:space="preserve">Cl_10</t>
  </si>
  <si>
    <t xml:space="preserve">Cl_11</t>
  </si>
  <si>
    <t xml:space="preserve">Cl_12</t>
  </si>
  <si>
    <t xml:space="preserve">Cd_neg5</t>
  </si>
  <si>
    <t xml:space="preserve">Cd_neg4</t>
  </si>
  <si>
    <t xml:space="preserve">Cd_neg3</t>
  </si>
  <si>
    <t xml:space="preserve">Cd_neg2</t>
  </si>
  <si>
    <t xml:space="preserve">Cd_neg1</t>
  </si>
  <si>
    <t xml:space="preserve">Cd_0</t>
  </si>
  <si>
    <t xml:space="preserve">Cd_1</t>
  </si>
  <si>
    <t xml:space="preserve">Cd_2</t>
  </si>
  <si>
    <t xml:space="preserve">Cd_3</t>
  </si>
  <si>
    <t xml:space="preserve">Cd_4</t>
  </si>
  <si>
    <t xml:space="preserve">Cd_5</t>
  </si>
  <si>
    <t xml:space="preserve">Cd_6</t>
  </si>
  <si>
    <t xml:space="preserve">Cd_7</t>
  </si>
  <si>
    <t xml:space="preserve">Cd_8</t>
  </si>
  <si>
    <t xml:space="preserve">Cd_9</t>
  </si>
  <si>
    <t xml:space="preserve">Cd_10</t>
  </si>
  <si>
    <t xml:space="preserve">Cd_11</t>
  </si>
  <si>
    <t xml:space="preserve">Cd_12</t>
  </si>
  <si>
    <t xml:space="preserve">NACA24112</t>
  </si>
  <si>
    <t xml:space="preserve">NACA0004</t>
  </si>
  <si>
    <t xml:space="preserve">NACA2412</t>
  </si>
  <si>
    <t xml:space="preserve">PropType</t>
  </si>
  <si>
    <t xml:space="preserve">Number</t>
  </si>
  <si>
    <t xml:space="preserve">TA_mil_sl</t>
  </si>
  <si>
    <t xml:space="preserve">TSFC_mil_sl</t>
  </si>
  <si>
    <t xml:space="preserve">TA_AB_sl</t>
  </si>
  <si>
    <t xml:space="preserve">TSFC_AB_sl</t>
  </si>
  <si>
    <t xml:space="preserve">Install_loss</t>
  </si>
  <si>
    <t xml:space="preserve">PA_shp_sl</t>
  </si>
  <si>
    <t xml:space="preserve">SFC_sl</t>
  </si>
  <si>
    <t xml:space="preserve">Prop_eff</t>
  </si>
  <si>
    <t xml:space="preserve">Prop_Dia</t>
  </si>
  <si>
    <t xml:space="preserve">Esb_ideal</t>
  </si>
  <si>
    <t xml:space="preserve">install_loss</t>
  </si>
  <si>
    <t xml:space="preserve">capacity_loss</t>
  </si>
  <si>
    <t xml:space="preserve">lifetime_loss</t>
  </si>
  <si>
    <t xml:space="preserve">Esb_Real</t>
  </si>
  <si>
    <t xml:space="preserve">eta_b2s</t>
  </si>
  <si>
    <t xml:space="preserve">JET_LBP_Turbofan</t>
  </si>
  <si>
    <t xml:space="preserve">PROP_Fuel</t>
  </si>
  <si>
    <t xml:space="preserve">PROP_Electric</t>
  </si>
  <si>
    <t xml:space="preserve">Jet_Trainer</t>
  </si>
  <si>
    <t xml:space="preserve">JET_HBP_Turbofan</t>
  </si>
  <si>
    <t xml:space="preserve">Jet_Transport</t>
  </si>
  <si>
    <t xml:space="preserve">Military_Cargo/Bomber</t>
  </si>
  <si>
    <t xml:space="preserve">PROP_Turboprop</t>
  </si>
  <si>
    <t xml:space="preserve">Business_Jet</t>
  </si>
  <si>
    <t xml:space="preserve">PROP_Turbocharged</t>
  </si>
  <si>
    <t xml:space="preserve">UAV_Jet</t>
  </si>
  <si>
    <t xml:space="preserve">GA_Metal_Single</t>
  </si>
  <si>
    <t xml:space="preserve">GA_Metal_Twin</t>
  </si>
  <si>
    <t xml:space="preserve">GA_Composite</t>
  </si>
  <si>
    <t xml:space="preserve">Homebuilt_Metal/wood_Prop</t>
  </si>
  <si>
    <t xml:space="preserve">Homebuilt_Composite_Prop</t>
  </si>
  <si>
    <t xml:space="preserve">Turboprop_Transport</t>
  </si>
  <si>
    <t xml:space="preserve">Sailplane_Unpowered</t>
  </si>
  <si>
    <t xml:space="preserve">Sailplane_Powered</t>
  </si>
  <si>
    <t xml:space="preserve">Ag_Aircraft_Prop</t>
  </si>
  <si>
    <t xml:space="preserve">Aerobatic_Prop</t>
  </si>
  <si>
    <t xml:space="preserve">Flying_Boat_Prop</t>
  </si>
  <si>
    <t xml:space="preserve">UAV_Prop</t>
  </si>
</sst>
</file>

<file path=xl/styles.xml><?xml version="1.0" encoding="utf-8"?>
<styleSheet xmlns="http://schemas.openxmlformats.org/spreadsheetml/2006/main">
  <numFmts count="3">
    <numFmt numFmtId="164" formatCode="General"/>
    <numFmt numFmtId="165" formatCode="General"/>
    <numFmt numFmtId="166" formatCode="0.0000"/>
  </numFmts>
  <fonts count="8">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Arial Unicode MS"/>
      <family val="2"/>
      <charset val="1"/>
    </font>
    <font>
      <b val="true"/>
      <sz val="9"/>
      <color rgb="FF000000"/>
      <name val="Tahoma"/>
      <family val="2"/>
      <charset val="1"/>
    </font>
    <font>
      <sz val="9"/>
      <color rgb="FF000000"/>
      <name val="Tahoma"/>
      <family val="2"/>
      <charset val="1"/>
    </font>
  </fonts>
  <fills count="14">
    <fill>
      <patternFill patternType="none"/>
    </fill>
    <fill>
      <patternFill patternType="gray125"/>
    </fill>
    <fill>
      <patternFill patternType="solid">
        <fgColor rgb="FF9DC3E6"/>
        <bgColor rgb="FF8FAADC"/>
      </patternFill>
    </fill>
    <fill>
      <patternFill patternType="solid">
        <fgColor rgb="FF000000"/>
        <bgColor rgb="FF003300"/>
      </patternFill>
    </fill>
    <fill>
      <patternFill patternType="solid">
        <fgColor rgb="FFD6DCE5"/>
        <bgColor rgb="FFDAE3F3"/>
      </patternFill>
    </fill>
    <fill>
      <patternFill patternType="solid">
        <fgColor rgb="FF8FAADC"/>
        <bgColor rgb="FF9DC3E6"/>
      </patternFill>
    </fill>
    <fill>
      <patternFill patternType="solid">
        <fgColor rgb="FFFBE5D6"/>
        <bgColor rgb="FFFFE699"/>
      </patternFill>
    </fill>
    <fill>
      <patternFill patternType="solid">
        <fgColor rgb="FFFFE699"/>
        <bgColor rgb="FFFBE5D6"/>
      </patternFill>
    </fill>
    <fill>
      <patternFill patternType="solid">
        <fgColor rgb="FFF4B183"/>
        <bgColor rgb="FFFF99CC"/>
      </patternFill>
    </fill>
    <fill>
      <patternFill patternType="solid">
        <fgColor rgb="FFC5E0B4"/>
        <bgColor rgb="FFD6DCE5"/>
      </patternFill>
    </fill>
    <fill>
      <patternFill patternType="solid">
        <fgColor rgb="FF5B9BD5"/>
        <bgColor rgb="FF8FAADC"/>
      </patternFill>
    </fill>
    <fill>
      <patternFill patternType="solid">
        <fgColor rgb="FFFFC000"/>
        <bgColor rgb="FFFF9900"/>
      </patternFill>
    </fill>
    <fill>
      <patternFill patternType="solid">
        <fgColor rgb="FF92D050"/>
        <bgColor rgb="FFC5E0B4"/>
      </patternFill>
    </fill>
    <fill>
      <patternFill patternType="solid">
        <fgColor rgb="FFDAE3F3"/>
        <bgColor rgb="FFD6DCE5"/>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0" fillId="5" borderId="1" xfId="0" applyFont="true" applyBorder="true" applyAlignment="true" applyProtection="false">
      <alignment horizontal="center" vertical="bottom" textRotation="0" wrapText="false" indent="0" shrinkToFit="false"/>
      <protection locked="true" hidden="false"/>
    </xf>
    <xf numFmtId="164" fontId="0" fillId="6" borderId="1" xfId="0" applyFont="true" applyBorder="true" applyAlignment="true" applyProtection="false">
      <alignment horizontal="center" vertical="bottom" textRotation="0" wrapText="false" indent="0" shrinkToFit="false"/>
      <protection locked="true" hidden="false"/>
    </xf>
    <xf numFmtId="164" fontId="0" fillId="7" borderId="1" xfId="0" applyFont="true" applyBorder="true" applyAlignment="true" applyProtection="false">
      <alignment horizontal="center" vertical="bottom" textRotation="0" wrapText="false" indent="0" shrinkToFit="false"/>
      <protection locked="true" hidden="false"/>
    </xf>
    <xf numFmtId="164" fontId="0" fillId="8" borderId="1" xfId="0" applyFont="true" applyBorder="true" applyAlignment="true" applyProtection="false">
      <alignment horizontal="center" vertical="bottom" textRotation="0" wrapText="false" indent="0" shrinkToFit="false"/>
      <protection locked="true" hidden="false"/>
    </xf>
    <xf numFmtId="164" fontId="0" fillId="9"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4" fontId="4" fillId="9" borderId="1" xfId="0" applyFont="true" applyBorder="true" applyAlignment="true" applyProtection="false">
      <alignment horizontal="center" vertical="center" textRotation="0" wrapText="fals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left" vertical="center" textRotation="0" wrapText="false" indent="0" shrinkToFit="false"/>
      <protection locked="true" hidden="false"/>
    </xf>
    <xf numFmtId="166" fontId="0" fillId="0" borderId="1" xfId="0" applyFont="false" applyBorder="true" applyAlignment="true" applyProtection="false">
      <alignment horizontal="center" vertical="center" textRotation="0" wrapText="false" indent="0" shrinkToFit="false"/>
      <protection locked="true" hidden="false"/>
    </xf>
    <xf numFmtId="164" fontId="4" fillId="10" borderId="0" xfId="0" applyFont="true" applyBorder="false" applyAlignment="false" applyProtection="false">
      <alignment horizontal="general" vertical="bottom" textRotation="0" wrapText="false" indent="0" shrinkToFit="false"/>
      <protection locked="true" hidden="false"/>
    </xf>
    <xf numFmtId="164" fontId="4" fillId="11" borderId="0" xfId="0" applyFont="true" applyBorder="false" applyAlignment="false" applyProtection="false">
      <alignment horizontal="general" vertical="bottom" textRotation="0" wrapText="false" indent="0" shrinkToFit="false"/>
      <protection locked="true" hidden="false"/>
    </xf>
    <xf numFmtId="164" fontId="4" fillId="9" borderId="0" xfId="0" applyFont="true" applyBorder="fals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BE5D6"/>
      <rgbColor rgb="FFDAE3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DC3E6"/>
      <rgbColor rgb="FFFF99CC"/>
      <rgbColor rgb="FFCC99FF"/>
      <rgbColor rgb="FFF4B183"/>
      <rgbColor rgb="FF3366FF"/>
      <rgbColor rgb="FF33CCCC"/>
      <rgbColor rgb="FF92D050"/>
      <rgbColor rgb="FFFFC000"/>
      <rgbColor rgb="FFFF9900"/>
      <rgbColor rgb="FFFF6600"/>
      <rgbColor rgb="FF666699"/>
      <rgbColor rgb="FF5B9BD5"/>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25.png"/><Relationship Id="rId2" Type="http://schemas.openxmlformats.org/officeDocument/2006/relationships/image" Target="../media/image26.png"/><Relationship Id="rId3" Type="http://schemas.openxmlformats.org/officeDocument/2006/relationships/image" Target="../media/image27.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0</xdr:row>
      <xdr:rowOff>0</xdr:rowOff>
    </xdr:from>
    <xdr:to>
      <xdr:col>10</xdr:col>
      <xdr:colOff>60480</xdr:colOff>
      <xdr:row>41</xdr:row>
      <xdr:rowOff>121680</xdr:rowOff>
    </xdr:to>
    <xdr:sp>
      <xdr:nvSpPr>
        <xdr:cNvPr id="0" name="CustomShape 1" hidden="1"/>
        <xdr:cNvSpPr/>
      </xdr:nvSpPr>
      <xdr:spPr>
        <a:xfrm>
          <a:off x="0" y="0"/>
          <a:ext cx="8675280" cy="7619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1" name="CustomShape 1" hidden="1"/>
        <xdr:cNvSpPr/>
      </xdr:nvSpPr>
      <xdr:spPr>
        <a:xfrm>
          <a:off x="0" y="0"/>
          <a:ext cx="8675280" cy="7619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2" name="CustomShape 1" hidden="1"/>
        <xdr:cNvSpPr/>
      </xdr:nvSpPr>
      <xdr:spPr>
        <a:xfrm>
          <a:off x="0" y="0"/>
          <a:ext cx="8675280" cy="7619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3" name="CustomShape 1" hidden="1"/>
        <xdr:cNvSpPr/>
      </xdr:nvSpPr>
      <xdr:spPr>
        <a:xfrm>
          <a:off x="0" y="0"/>
          <a:ext cx="8675280" cy="7619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4" name="CustomShape 1" hidden="1"/>
        <xdr:cNvSpPr/>
      </xdr:nvSpPr>
      <xdr:spPr>
        <a:xfrm>
          <a:off x="0" y="0"/>
          <a:ext cx="8675280" cy="7619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5" name="CustomShape 1" hidden="1"/>
        <xdr:cNvSpPr/>
      </xdr:nvSpPr>
      <xdr:spPr>
        <a:xfrm>
          <a:off x="0" y="0"/>
          <a:ext cx="8675280" cy="7619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6" name="CustomShape 1" hidden="1"/>
        <xdr:cNvSpPr/>
      </xdr:nvSpPr>
      <xdr:spPr>
        <a:xfrm>
          <a:off x="0" y="0"/>
          <a:ext cx="8675280" cy="7619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7" name="CustomShape 1" hidden="1"/>
        <xdr:cNvSpPr/>
      </xdr:nvSpPr>
      <xdr:spPr>
        <a:xfrm>
          <a:off x="0" y="0"/>
          <a:ext cx="8675280" cy="761976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8" name="CustomShape 1"/>
        <xdr:cNvSpPr/>
      </xdr:nvSpPr>
      <xdr:spPr>
        <a:xfrm>
          <a:off x="0" y="0"/>
          <a:ext cx="8675280" cy="7619760"/>
        </a:xfrm>
        <a:prstGeom prst="rect">
          <a:avLst/>
        </a:prstGeom>
        <a:solidFill>
          <a:srgbClr val="ffffff"/>
        </a:solidFill>
        <a:ln w="9360">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9" name="CustomShape 1"/>
        <xdr:cNvSpPr/>
      </xdr:nvSpPr>
      <xdr:spPr>
        <a:xfrm>
          <a:off x="0" y="0"/>
          <a:ext cx="8675280" cy="7619760"/>
        </a:xfrm>
        <a:prstGeom prst="rect">
          <a:avLst/>
        </a:prstGeom>
        <a:solidFill>
          <a:srgbClr val="ffffff"/>
        </a:solidFill>
        <a:ln w="9360">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10" name="CustomShape 1"/>
        <xdr:cNvSpPr/>
      </xdr:nvSpPr>
      <xdr:spPr>
        <a:xfrm>
          <a:off x="0" y="0"/>
          <a:ext cx="8675280" cy="7619760"/>
        </a:xfrm>
        <a:prstGeom prst="rect">
          <a:avLst/>
        </a:prstGeom>
        <a:solidFill>
          <a:srgbClr val="ffffff"/>
        </a:solidFill>
        <a:ln w="9360">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11" name="CustomShape 1"/>
        <xdr:cNvSpPr/>
      </xdr:nvSpPr>
      <xdr:spPr>
        <a:xfrm>
          <a:off x="0" y="0"/>
          <a:ext cx="8675280" cy="7619760"/>
        </a:xfrm>
        <a:prstGeom prst="rect">
          <a:avLst/>
        </a:prstGeom>
        <a:solidFill>
          <a:srgbClr val="ffffff"/>
        </a:solidFill>
        <a:ln w="9360">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12" name="CustomShape 1"/>
        <xdr:cNvSpPr/>
      </xdr:nvSpPr>
      <xdr:spPr>
        <a:xfrm>
          <a:off x="0" y="0"/>
          <a:ext cx="8675280" cy="7619760"/>
        </a:xfrm>
        <a:prstGeom prst="rect">
          <a:avLst/>
        </a:prstGeom>
        <a:solidFill>
          <a:srgbClr val="ffffff"/>
        </a:solidFill>
        <a:ln w="9360">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13" name="CustomShape 1"/>
        <xdr:cNvSpPr/>
      </xdr:nvSpPr>
      <xdr:spPr>
        <a:xfrm>
          <a:off x="0" y="0"/>
          <a:ext cx="8675280" cy="7619760"/>
        </a:xfrm>
        <a:prstGeom prst="rect">
          <a:avLst/>
        </a:prstGeom>
        <a:solidFill>
          <a:srgbClr val="ffffff"/>
        </a:solidFill>
        <a:ln w="9360">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14" name="CustomShape 1"/>
        <xdr:cNvSpPr/>
      </xdr:nvSpPr>
      <xdr:spPr>
        <a:xfrm>
          <a:off x="0" y="0"/>
          <a:ext cx="8675280" cy="7619760"/>
        </a:xfrm>
        <a:prstGeom prst="rect">
          <a:avLst/>
        </a:prstGeom>
        <a:solidFill>
          <a:srgbClr val="ffffff"/>
        </a:solidFill>
        <a:ln w="9360">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10</xdr:col>
      <xdr:colOff>60480</xdr:colOff>
      <xdr:row>41</xdr:row>
      <xdr:rowOff>121680</xdr:rowOff>
    </xdr:to>
    <xdr:sp>
      <xdr:nvSpPr>
        <xdr:cNvPr id="15" name="CustomShape 1"/>
        <xdr:cNvSpPr/>
      </xdr:nvSpPr>
      <xdr:spPr>
        <a:xfrm>
          <a:off x="0" y="0"/>
          <a:ext cx="8675280" cy="7619760"/>
        </a:xfrm>
        <a:prstGeom prst="rect">
          <a:avLst/>
        </a:prstGeom>
        <a:solidFill>
          <a:srgbClr val="ffffff"/>
        </a:solidFill>
        <a:ln w="9360">
          <a:solidFill>
            <a:srgbClr val="000000"/>
          </a:solidFill>
          <a:round/>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19</xdr:col>
      <xdr:colOff>243000</xdr:colOff>
      <xdr:row>36</xdr:row>
      <xdr:rowOff>68040</xdr:rowOff>
    </xdr:to>
    <xdr:pic>
      <xdr:nvPicPr>
        <xdr:cNvPr id="16" name="Graphic 1" descr=""/>
        <xdr:cNvPicPr/>
      </xdr:nvPicPr>
      <xdr:blipFill>
        <a:blip r:embed="rId1"/>
        <a:stretch/>
      </xdr:blipFill>
      <xdr:spPr>
        <a:xfrm>
          <a:off x="0" y="0"/>
          <a:ext cx="12006360" cy="6651720"/>
        </a:xfrm>
        <a:prstGeom prst="rect">
          <a:avLst/>
        </a:prstGeom>
        <a:ln>
          <a:noFill/>
        </a:ln>
      </xdr:spPr>
    </xdr:pic>
    <xdr:clientData/>
  </xdr:twoCellAnchor>
  <xdr:twoCellAnchor editAs="oneCell">
    <xdr:from>
      <xdr:col>0</xdr:col>
      <xdr:colOff>0</xdr:colOff>
      <xdr:row>74</xdr:row>
      <xdr:rowOff>0</xdr:rowOff>
    </xdr:from>
    <xdr:to>
      <xdr:col>19</xdr:col>
      <xdr:colOff>212760</xdr:colOff>
      <xdr:row>110</xdr:row>
      <xdr:rowOff>50760</xdr:rowOff>
    </xdr:to>
    <xdr:pic>
      <xdr:nvPicPr>
        <xdr:cNvPr id="17" name="Graphic 3" descr=""/>
        <xdr:cNvPicPr/>
      </xdr:nvPicPr>
      <xdr:blipFill>
        <a:blip r:embed="rId2"/>
        <a:stretch/>
      </xdr:blipFill>
      <xdr:spPr>
        <a:xfrm>
          <a:off x="0" y="13533120"/>
          <a:ext cx="11976120" cy="6634440"/>
        </a:xfrm>
        <a:prstGeom prst="rect">
          <a:avLst/>
        </a:prstGeom>
        <a:ln>
          <a:noFill/>
        </a:ln>
      </xdr:spPr>
    </xdr:pic>
    <xdr:clientData/>
  </xdr:twoCellAnchor>
  <xdr:twoCellAnchor editAs="oneCell">
    <xdr:from>
      <xdr:col>0</xdr:col>
      <xdr:colOff>28440</xdr:colOff>
      <xdr:row>36</xdr:row>
      <xdr:rowOff>162000</xdr:rowOff>
    </xdr:from>
    <xdr:to>
      <xdr:col>19</xdr:col>
      <xdr:colOff>219600</xdr:colOff>
      <xdr:row>72</xdr:row>
      <xdr:rowOff>183240</xdr:rowOff>
    </xdr:to>
    <xdr:pic>
      <xdr:nvPicPr>
        <xdr:cNvPr id="18" name="Graphic 4" descr=""/>
        <xdr:cNvPicPr/>
      </xdr:nvPicPr>
      <xdr:blipFill>
        <a:blip r:embed="rId3"/>
        <a:stretch/>
      </xdr:blipFill>
      <xdr:spPr>
        <a:xfrm>
          <a:off x="28440" y="6745680"/>
          <a:ext cx="11954520" cy="6604920"/>
        </a:xfrm>
        <a:prstGeom prst="rect">
          <a:avLst/>
        </a:prstGeom>
        <a:ln>
          <a:noFill/>
        </a:ln>
      </xdr:spPr>
    </xdr:pic>
    <xdr:clientData/>
  </xdr:twoCellAnchor>
</xdr:wsDr>
</file>

<file path=xl/tables/table1.xml><?xml version="1.0" encoding="utf-8"?>
<table xmlns="http://schemas.openxmlformats.org/spreadsheetml/2006/main" id="1" name="PropType" displayName="PropType" ref="A1:A7" headerRowCount="1" totalsRowCount="0" totalsRowShown="0">
  <autoFilter ref="A1:A7"/>
  <tableColumns count="1">
    <tableColumn id="1" name="PropType"/>
  </tableColumns>
</table>
</file>

<file path=xl/tables/table2.xml><?xml version="1.0" encoding="utf-8"?>
<table xmlns="http://schemas.openxmlformats.org/spreadsheetml/2006/main" id="2" name="PropType3" displayName="PropType3" ref="B1:B19" headerRowCount="1" totalsRowCount="0" totalsRowShown="0">
  <autoFilter ref="B1:B19"/>
  <tableColumns count="1">
    <tableColumn id="1" name="ACType"/>
  </tableColumns>
</tabl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D82"/>
  <sheetViews>
    <sheetView showFormulas="false" showGridLines="true" showRowColHeaders="true" showZeros="true" rightToLeft="false" tabSelected="false" showOutlineSymbols="true" defaultGridColor="true" view="normal" topLeftCell="A46" colorId="64" zoomScale="125" zoomScaleNormal="125" zoomScalePageLayoutView="100" workbookViewId="0">
      <selection pane="topLeft" activeCell="B84" activeCellId="0" sqref="B84"/>
    </sheetView>
  </sheetViews>
  <sheetFormatPr defaultRowHeight="14.4" zeroHeight="false" outlineLevelRow="0" outlineLevelCol="0"/>
  <cols>
    <col collapsed="false" customWidth="true" hidden="false" outlineLevel="0" max="1" min="1" style="0" width="16.11"/>
    <col collapsed="false" customWidth="true" hidden="false" outlineLevel="0" max="2" min="2" style="0" width="13.78"/>
    <col collapsed="false" customWidth="true" hidden="false" outlineLevel="0" max="3" min="3" style="1" width="11.33"/>
    <col collapsed="false" customWidth="true" hidden="false" outlineLevel="0" max="4" min="4" style="2" width="104.45"/>
    <col collapsed="false" customWidth="true" hidden="false" outlineLevel="0" max="1025" min="5" style="0" width="8.78"/>
  </cols>
  <sheetData>
    <row r="1" customFormat="false" ht="14.4" hidden="false" customHeight="false" outlineLevel="0" collapsed="false">
      <c r="A1" s="3" t="s">
        <v>0</v>
      </c>
      <c r="B1" s="4" t="s">
        <v>1</v>
      </c>
      <c r="C1" s="4" t="s">
        <v>2</v>
      </c>
      <c r="D1" s="5" t="s">
        <v>3</v>
      </c>
    </row>
    <row r="2" customFormat="false" ht="14.4" hidden="false" customHeight="false" outlineLevel="0" collapsed="false">
      <c r="A2" s="6" t="s">
        <v>4</v>
      </c>
      <c r="B2" s="6" t="e">
        <f aca="false">#REF!</f>
        <v>#REF!</v>
      </c>
      <c r="C2" s="7" t="s">
        <v>5</v>
      </c>
      <c r="D2" s="8" t="s">
        <v>6</v>
      </c>
    </row>
    <row r="3" customFormat="false" ht="14.4" hidden="false" customHeight="false" outlineLevel="0" collapsed="false">
      <c r="A3" s="6" t="s">
        <v>4</v>
      </c>
      <c r="B3" s="6" t="e">
        <f aca="false">#REF!</f>
        <v>#REF!</v>
      </c>
      <c r="C3" s="7" t="s">
        <v>5</v>
      </c>
      <c r="D3" s="2" t="s">
        <v>7</v>
      </c>
    </row>
    <row r="4" customFormat="false" ht="28.8" hidden="false" customHeight="false" outlineLevel="0" collapsed="false">
      <c r="A4" s="6" t="s">
        <v>4</v>
      </c>
      <c r="B4" s="6" t="e">
        <f aca="false">#REF!</f>
        <v>#REF!</v>
      </c>
      <c r="C4" s="7" t="s">
        <v>8</v>
      </c>
      <c r="D4" s="8" t="s">
        <v>9</v>
      </c>
    </row>
    <row r="5" customFormat="false" ht="28.8" hidden="false" customHeight="false" outlineLevel="0" collapsed="false">
      <c r="A5" s="6" t="s">
        <v>4</v>
      </c>
      <c r="B5" s="6" t="e">
        <f aca="false">#REF!</f>
        <v>#REF!</v>
      </c>
      <c r="C5" s="7" t="s">
        <v>5</v>
      </c>
      <c r="D5" s="8" t="s">
        <v>10</v>
      </c>
    </row>
    <row r="6" customFormat="false" ht="14.4" hidden="false" customHeight="false" outlineLevel="0" collapsed="false">
      <c r="A6" s="6" t="s">
        <v>4</v>
      </c>
      <c r="B6" s="6" t="e">
        <f aca="false">#REF!</f>
        <v>#REF!</v>
      </c>
      <c r="C6" s="7" t="s">
        <v>5</v>
      </c>
      <c r="D6" s="8" t="s">
        <v>11</v>
      </c>
    </row>
    <row r="7" customFormat="false" ht="14.4" hidden="false" customHeight="false" outlineLevel="0" collapsed="false">
      <c r="A7" s="6" t="s">
        <v>4</v>
      </c>
      <c r="B7" s="6" t="e">
        <f aca="false">#REF!</f>
        <v>#REF!</v>
      </c>
      <c r="C7" s="7" t="s">
        <v>8</v>
      </c>
      <c r="D7" s="8" t="s">
        <v>12</v>
      </c>
    </row>
    <row r="8" customFormat="false" ht="14.4" hidden="false" customHeight="false" outlineLevel="0" collapsed="false">
      <c r="A8" s="6" t="s">
        <v>4</v>
      </c>
      <c r="B8" s="6" t="e">
        <f aca="false">#REF!</f>
        <v>#REF!</v>
      </c>
      <c r="C8" s="7" t="s">
        <v>8</v>
      </c>
      <c r="D8" s="8" t="s">
        <v>13</v>
      </c>
    </row>
    <row r="9" customFormat="false" ht="14.4" hidden="false" customHeight="false" outlineLevel="0" collapsed="false">
      <c r="A9" s="6" t="s">
        <v>4</v>
      </c>
      <c r="B9" s="6" t="e">
        <f aca="false">#REF!</f>
        <v>#REF!</v>
      </c>
      <c r="C9" s="7" t="s">
        <v>5</v>
      </c>
      <c r="D9" s="8" t="s">
        <v>14</v>
      </c>
    </row>
    <row r="10" customFormat="false" ht="14.4" hidden="false" customHeight="false" outlineLevel="0" collapsed="false">
      <c r="A10" s="6" t="s">
        <v>4</v>
      </c>
      <c r="B10" s="6" t="e">
        <f aca="false">#REF!</f>
        <v>#REF!</v>
      </c>
      <c r="C10" s="7" t="s">
        <v>15</v>
      </c>
      <c r="D10" s="8" t="s">
        <v>16</v>
      </c>
    </row>
    <row r="11" customFormat="false" ht="28.8" hidden="false" customHeight="false" outlineLevel="0" collapsed="false">
      <c r="A11" s="6" t="s">
        <v>4</v>
      </c>
      <c r="B11" s="6" t="e">
        <f aca="false">#REF!</f>
        <v>#REF!</v>
      </c>
      <c r="C11" s="7" t="s">
        <v>15</v>
      </c>
      <c r="D11" s="8" t="s">
        <v>17</v>
      </c>
    </row>
    <row r="12" customFormat="false" ht="14.4" hidden="false" customHeight="false" outlineLevel="0" collapsed="false">
      <c r="A12" s="6" t="s">
        <v>4</v>
      </c>
      <c r="B12" s="6" t="e">
        <f aca="false">#REF!</f>
        <v>#REF!</v>
      </c>
      <c r="C12" s="7" t="s">
        <v>15</v>
      </c>
      <c r="D12" s="8" t="s">
        <v>18</v>
      </c>
    </row>
    <row r="13" customFormat="false" ht="28.8" hidden="false" customHeight="false" outlineLevel="0" collapsed="false">
      <c r="A13" s="6" t="s">
        <v>4</v>
      </c>
      <c r="B13" s="6" t="e">
        <f aca="false">#REF!</f>
        <v>#REF!</v>
      </c>
      <c r="C13" s="7" t="s">
        <v>5</v>
      </c>
      <c r="D13" s="8" t="s">
        <v>19</v>
      </c>
    </row>
    <row r="14" customFormat="false" ht="28.8" hidden="false" customHeight="false" outlineLevel="0" collapsed="false">
      <c r="A14" s="6" t="s">
        <v>4</v>
      </c>
      <c r="B14" s="6" t="e">
        <f aca="false">#REF!</f>
        <v>#REF!</v>
      </c>
      <c r="C14" s="7" t="s">
        <v>5</v>
      </c>
      <c r="D14" s="8" t="s">
        <v>20</v>
      </c>
    </row>
    <row r="15" customFormat="false" ht="28.8" hidden="false" customHeight="false" outlineLevel="0" collapsed="false">
      <c r="A15" s="6" t="s">
        <v>4</v>
      </c>
      <c r="B15" s="6" t="e">
        <f aca="false">#REF!</f>
        <v>#REF!</v>
      </c>
      <c r="C15" s="7" t="s">
        <v>15</v>
      </c>
      <c r="D15" s="8" t="s">
        <v>21</v>
      </c>
    </row>
    <row r="16" customFormat="false" ht="28.8" hidden="false" customHeight="false" outlineLevel="0" collapsed="false">
      <c r="A16" s="6" t="s">
        <v>4</v>
      </c>
      <c r="B16" s="6" t="e">
        <f aca="false">#REF!</f>
        <v>#REF!</v>
      </c>
      <c r="C16" s="7" t="s">
        <v>15</v>
      </c>
      <c r="D16" s="8" t="s">
        <v>22</v>
      </c>
    </row>
    <row r="17" customFormat="false" ht="14.4" hidden="false" customHeight="false" outlineLevel="0" collapsed="false">
      <c r="A17" s="6" t="s">
        <v>4</v>
      </c>
      <c r="B17" s="6" t="e">
        <f aca="false">#REF!</f>
        <v>#REF!</v>
      </c>
      <c r="C17" s="7" t="s">
        <v>5</v>
      </c>
      <c r="D17" s="8" t="s">
        <v>23</v>
      </c>
    </row>
    <row r="18" customFormat="false" ht="14.4" hidden="false" customHeight="false" outlineLevel="0" collapsed="false">
      <c r="A18" s="6" t="s">
        <v>4</v>
      </c>
      <c r="B18" s="6" t="e">
        <f aca="false">#REF!</f>
        <v>#REF!</v>
      </c>
      <c r="C18" s="7" t="s">
        <v>5</v>
      </c>
      <c r="D18" s="8" t="s">
        <v>24</v>
      </c>
    </row>
    <row r="19" customFormat="false" ht="14.4" hidden="false" customHeight="false" outlineLevel="0" collapsed="false">
      <c r="A19" s="6" t="s">
        <v>4</v>
      </c>
      <c r="B19" s="6" t="e">
        <f aca="false">#REF!</f>
        <v>#REF!</v>
      </c>
      <c r="C19" s="7" t="s">
        <v>25</v>
      </c>
      <c r="D19" s="8" t="s">
        <v>26</v>
      </c>
    </row>
    <row r="20" customFormat="false" ht="14.4" hidden="false" customHeight="false" outlineLevel="0" collapsed="false">
      <c r="A20" s="6" t="s">
        <v>4</v>
      </c>
      <c r="B20" s="6" t="e">
        <f aca="false">#REF!</f>
        <v>#REF!</v>
      </c>
      <c r="C20" s="7" t="s">
        <v>25</v>
      </c>
      <c r="D20" s="8" t="s">
        <v>27</v>
      </c>
    </row>
    <row r="21" customFormat="false" ht="43.2" hidden="false" customHeight="false" outlineLevel="0" collapsed="false">
      <c r="A21" s="6" t="s">
        <v>4</v>
      </c>
      <c r="B21" s="6" t="e">
        <f aca="false">#REF!</f>
        <v>#REF!</v>
      </c>
      <c r="C21" s="7" t="s">
        <v>5</v>
      </c>
      <c r="D21" s="8" t="s">
        <v>28</v>
      </c>
    </row>
    <row r="22" customFormat="false" ht="28.5" hidden="false" customHeight="true" outlineLevel="0" collapsed="false">
      <c r="A22" s="6" t="s">
        <v>4</v>
      </c>
      <c r="B22" s="6" t="e">
        <f aca="false">#REF!</f>
        <v>#REF!</v>
      </c>
      <c r="C22" s="7" t="s">
        <v>15</v>
      </c>
      <c r="D22" s="8" t="s">
        <v>29</v>
      </c>
    </row>
    <row r="23" customFormat="false" ht="28.8" hidden="false" customHeight="false" outlineLevel="0" collapsed="false">
      <c r="A23" s="6" t="s">
        <v>4</v>
      </c>
      <c r="B23" s="6" t="e">
        <f aca="false">#REF!</f>
        <v>#REF!</v>
      </c>
      <c r="C23" s="7" t="s">
        <v>15</v>
      </c>
      <c r="D23" s="8" t="s">
        <v>30</v>
      </c>
    </row>
    <row r="24" customFormat="false" ht="14.4" hidden="false" customHeight="false" outlineLevel="0" collapsed="false">
      <c r="A24" s="6" t="s">
        <v>4</v>
      </c>
      <c r="B24" s="6" t="e">
        <f aca="false">#REF!</f>
        <v>#REF!</v>
      </c>
      <c r="C24" s="7" t="s">
        <v>5</v>
      </c>
      <c r="D24" s="8" t="s">
        <v>31</v>
      </c>
    </row>
    <row r="25" customFormat="false" ht="28.8" hidden="false" customHeight="false" outlineLevel="0" collapsed="false">
      <c r="A25" s="6" t="s">
        <v>4</v>
      </c>
      <c r="B25" s="6" t="e">
        <f aca="false">#REF!</f>
        <v>#REF!</v>
      </c>
      <c r="C25" s="7" t="s">
        <v>5</v>
      </c>
      <c r="D25" s="8" t="s">
        <v>32</v>
      </c>
    </row>
    <row r="26" customFormat="false" ht="14.4" hidden="false" customHeight="false" outlineLevel="0" collapsed="false">
      <c r="A26" s="6" t="s">
        <v>4</v>
      </c>
      <c r="B26" s="6" t="e">
        <f aca="false">#REF!</f>
        <v>#REF!</v>
      </c>
      <c r="C26" s="7" t="s">
        <v>25</v>
      </c>
      <c r="D26" s="8" t="s">
        <v>33</v>
      </c>
    </row>
    <row r="27" customFormat="false" ht="28.8" hidden="false" customHeight="false" outlineLevel="0" collapsed="false">
      <c r="A27" s="6" t="s">
        <v>4</v>
      </c>
      <c r="B27" s="6" t="e">
        <f aca="false">#REF!</f>
        <v>#REF!</v>
      </c>
      <c r="C27" s="7" t="s">
        <v>8</v>
      </c>
      <c r="D27" s="8" t="s">
        <v>34</v>
      </c>
    </row>
    <row r="28" customFormat="false" ht="43.2" hidden="false" customHeight="false" outlineLevel="0" collapsed="false">
      <c r="A28" s="6" t="s">
        <v>4</v>
      </c>
      <c r="B28" s="6" t="e">
        <f aca="false">#REF!</f>
        <v>#REF!</v>
      </c>
      <c r="C28" s="7" t="s">
        <v>5</v>
      </c>
      <c r="D28" s="8" t="s">
        <v>35</v>
      </c>
    </row>
    <row r="29" customFormat="false" ht="28.8" hidden="false" customHeight="false" outlineLevel="0" collapsed="false">
      <c r="A29" s="6" t="s">
        <v>4</v>
      </c>
      <c r="B29" s="6" t="e">
        <f aca="false">#REF!</f>
        <v>#REF!</v>
      </c>
      <c r="C29" s="7" t="s">
        <v>15</v>
      </c>
      <c r="D29" s="8" t="s">
        <v>29</v>
      </c>
    </row>
    <row r="30" customFormat="false" ht="28.8" hidden="false" customHeight="false" outlineLevel="0" collapsed="false">
      <c r="A30" s="6" t="s">
        <v>4</v>
      </c>
      <c r="B30" s="6" t="e">
        <f aca="false">#REF!</f>
        <v>#REF!</v>
      </c>
      <c r="C30" s="7" t="s">
        <v>15</v>
      </c>
      <c r="D30" s="8" t="s">
        <v>30</v>
      </c>
    </row>
    <row r="31" customFormat="false" ht="14.4" hidden="false" customHeight="false" outlineLevel="0" collapsed="false">
      <c r="A31" s="6" t="s">
        <v>4</v>
      </c>
      <c r="B31" s="6" t="e">
        <f aca="false">#REF!</f>
        <v>#REF!</v>
      </c>
      <c r="C31" s="7" t="s">
        <v>5</v>
      </c>
      <c r="D31" s="8" t="s">
        <v>36</v>
      </c>
    </row>
    <row r="32" customFormat="false" ht="28.8" hidden="false" customHeight="false" outlineLevel="0" collapsed="false">
      <c r="A32" s="6" t="s">
        <v>4</v>
      </c>
      <c r="B32" s="6" t="e">
        <f aca="false">#REF!</f>
        <v>#REF!</v>
      </c>
      <c r="C32" s="7" t="s">
        <v>5</v>
      </c>
      <c r="D32" s="8" t="s">
        <v>37</v>
      </c>
    </row>
    <row r="33" customFormat="false" ht="14.4" hidden="false" customHeight="false" outlineLevel="0" collapsed="false">
      <c r="A33" s="6" t="s">
        <v>4</v>
      </c>
      <c r="B33" s="6" t="e">
        <f aca="false">#REF!</f>
        <v>#REF!</v>
      </c>
      <c r="C33" s="7" t="s">
        <v>25</v>
      </c>
      <c r="D33" s="8" t="s">
        <v>38</v>
      </c>
    </row>
    <row r="34" customFormat="false" ht="28.8" hidden="false" customHeight="false" outlineLevel="0" collapsed="false">
      <c r="A34" s="6" t="s">
        <v>4</v>
      </c>
      <c r="B34" s="6" t="e">
        <f aca="false">#REF!</f>
        <v>#REF!</v>
      </c>
      <c r="C34" s="7" t="s">
        <v>8</v>
      </c>
      <c r="D34" s="8" t="s">
        <v>39</v>
      </c>
    </row>
    <row r="35" customFormat="false" ht="43.2" hidden="false" customHeight="false" outlineLevel="0" collapsed="false">
      <c r="A35" s="6" t="s">
        <v>4</v>
      </c>
      <c r="B35" s="6" t="e">
        <f aca="false">#REF!</f>
        <v>#REF!</v>
      </c>
      <c r="C35" s="7" t="s">
        <v>5</v>
      </c>
      <c r="D35" s="8" t="s">
        <v>40</v>
      </c>
    </row>
    <row r="36" customFormat="false" ht="28.8" hidden="false" customHeight="false" outlineLevel="0" collapsed="false">
      <c r="A36" s="6" t="s">
        <v>4</v>
      </c>
      <c r="B36" s="6" t="e">
        <f aca="false">#REF!</f>
        <v>#REF!</v>
      </c>
      <c r="C36" s="7" t="s">
        <v>15</v>
      </c>
      <c r="D36" s="8" t="s">
        <v>41</v>
      </c>
    </row>
    <row r="37" customFormat="false" ht="28.8" hidden="false" customHeight="false" outlineLevel="0" collapsed="false">
      <c r="A37" s="6" t="s">
        <v>4</v>
      </c>
      <c r="B37" s="6" t="e">
        <f aca="false">#REF!</f>
        <v>#REF!</v>
      </c>
      <c r="C37" s="7" t="s">
        <v>15</v>
      </c>
      <c r="D37" s="8" t="s">
        <v>42</v>
      </c>
    </row>
    <row r="38" customFormat="false" ht="14.4" hidden="false" customHeight="false" outlineLevel="0" collapsed="false">
      <c r="A38" s="6" t="s">
        <v>4</v>
      </c>
      <c r="B38" s="6" t="e">
        <f aca="false">#REF!</f>
        <v>#REF!</v>
      </c>
      <c r="C38" s="7" t="s">
        <v>5</v>
      </c>
      <c r="D38" s="8" t="s">
        <v>43</v>
      </c>
    </row>
    <row r="39" customFormat="false" ht="28.8" hidden="false" customHeight="false" outlineLevel="0" collapsed="false">
      <c r="A39" s="6" t="s">
        <v>4</v>
      </c>
      <c r="B39" s="6" t="e">
        <f aca="false">#REF!</f>
        <v>#REF!</v>
      </c>
      <c r="C39" s="7" t="s">
        <v>5</v>
      </c>
      <c r="D39" s="8" t="s">
        <v>44</v>
      </c>
    </row>
    <row r="40" customFormat="false" ht="14.4" hidden="false" customHeight="false" outlineLevel="0" collapsed="false">
      <c r="A40" s="6" t="s">
        <v>4</v>
      </c>
      <c r="B40" s="6" t="e">
        <f aca="false">#REF!</f>
        <v>#REF!</v>
      </c>
      <c r="C40" s="7" t="s">
        <v>25</v>
      </c>
      <c r="D40" s="8" t="s">
        <v>45</v>
      </c>
    </row>
    <row r="41" customFormat="false" ht="28.8" hidden="false" customHeight="false" outlineLevel="0" collapsed="false">
      <c r="A41" s="6" t="s">
        <v>4</v>
      </c>
      <c r="B41" s="6" t="e">
        <f aca="false">#REF!</f>
        <v>#REF!</v>
      </c>
      <c r="C41" s="7" t="s">
        <v>8</v>
      </c>
      <c r="D41" s="8" t="s">
        <v>46</v>
      </c>
    </row>
    <row r="42" customFormat="false" ht="43.2" hidden="false" customHeight="false" outlineLevel="0" collapsed="false">
      <c r="A42" s="6" t="s">
        <v>4</v>
      </c>
      <c r="B42" s="6" t="e">
        <f aca="false">#REF!</f>
        <v>#REF!</v>
      </c>
      <c r="C42" s="7" t="s">
        <v>5</v>
      </c>
      <c r="D42" s="8" t="s">
        <v>47</v>
      </c>
    </row>
    <row r="43" customFormat="false" ht="28.8" hidden="false" customHeight="false" outlineLevel="0" collapsed="false">
      <c r="A43" s="6" t="s">
        <v>4</v>
      </c>
      <c r="B43" s="6" t="e">
        <f aca="false">#REF!</f>
        <v>#REF!</v>
      </c>
      <c r="C43" s="7" t="s">
        <v>15</v>
      </c>
      <c r="D43" s="8" t="s">
        <v>48</v>
      </c>
    </row>
    <row r="44" customFormat="false" ht="28.8" hidden="false" customHeight="false" outlineLevel="0" collapsed="false">
      <c r="A44" s="6" t="s">
        <v>4</v>
      </c>
      <c r="B44" s="6" t="e">
        <f aca="false">#REF!</f>
        <v>#REF!</v>
      </c>
      <c r="C44" s="7" t="s">
        <v>15</v>
      </c>
      <c r="D44" s="8" t="s">
        <v>49</v>
      </c>
    </row>
    <row r="45" customFormat="false" ht="14.4" hidden="false" customHeight="false" outlineLevel="0" collapsed="false">
      <c r="A45" s="6" t="s">
        <v>4</v>
      </c>
      <c r="B45" s="6" t="e">
        <f aca="false">#REF!</f>
        <v>#REF!</v>
      </c>
      <c r="C45" s="7" t="s">
        <v>5</v>
      </c>
      <c r="D45" s="8" t="s">
        <v>50</v>
      </c>
    </row>
    <row r="46" customFormat="false" ht="28.8" hidden="false" customHeight="false" outlineLevel="0" collapsed="false">
      <c r="A46" s="6" t="s">
        <v>4</v>
      </c>
      <c r="B46" s="6" t="e">
        <f aca="false">#REF!</f>
        <v>#REF!</v>
      </c>
      <c r="C46" s="7" t="s">
        <v>5</v>
      </c>
      <c r="D46" s="8" t="s">
        <v>51</v>
      </c>
    </row>
    <row r="47" customFormat="false" ht="14.4" hidden="false" customHeight="false" outlineLevel="0" collapsed="false">
      <c r="A47" s="6" t="s">
        <v>4</v>
      </c>
      <c r="B47" s="6" t="e">
        <f aca="false">#REF!</f>
        <v>#REF!</v>
      </c>
      <c r="C47" s="7" t="s">
        <v>25</v>
      </c>
      <c r="D47" s="8" t="s">
        <v>52</v>
      </c>
    </row>
    <row r="48" customFormat="false" ht="28.8" hidden="false" customHeight="false" outlineLevel="0" collapsed="false">
      <c r="A48" s="6" t="s">
        <v>4</v>
      </c>
      <c r="B48" s="6" t="e">
        <f aca="false">#REF!</f>
        <v>#REF!</v>
      </c>
      <c r="C48" s="7" t="s">
        <v>8</v>
      </c>
      <c r="D48" s="8" t="s">
        <v>53</v>
      </c>
    </row>
    <row r="49" customFormat="false" ht="43.2" hidden="false" customHeight="false" outlineLevel="0" collapsed="false">
      <c r="A49" s="6" t="s">
        <v>4</v>
      </c>
      <c r="B49" s="6" t="e">
        <f aca="false">#REF!</f>
        <v>#REF!</v>
      </c>
      <c r="C49" s="7" t="s">
        <v>5</v>
      </c>
      <c r="D49" s="8" t="s">
        <v>54</v>
      </c>
    </row>
    <row r="50" customFormat="false" ht="14.4" hidden="false" customHeight="false" outlineLevel="0" collapsed="false">
      <c r="A50" s="9"/>
      <c r="B50" s="9"/>
      <c r="C50" s="10"/>
      <c r="D50" s="11"/>
    </row>
    <row r="51" customFormat="false" ht="14.4" hidden="false" customHeight="false" outlineLevel="0" collapsed="false">
      <c r="A51" s="6" t="s">
        <v>55</v>
      </c>
      <c r="B51" s="6" t="s">
        <v>56</v>
      </c>
      <c r="C51" s="7" t="s">
        <v>5</v>
      </c>
      <c r="D51" s="8" t="s">
        <v>57</v>
      </c>
    </row>
    <row r="52" customFormat="false" ht="14.4" hidden="false" customHeight="false" outlineLevel="0" collapsed="false">
      <c r="A52" s="6" t="s">
        <v>55</v>
      </c>
      <c r="B52" s="6" t="s">
        <v>58</v>
      </c>
      <c r="C52" s="7" t="s">
        <v>5</v>
      </c>
      <c r="D52" s="8" t="s">
        <v>59</v>
      </c>
    </row>
    <row r="53" customFormat="false" ht="14.4" hidden="false" customHeight="false" outlineLevel="0" collapsed="false">
      <c r="A53" s="6" t="s">
        <v>55</v>
      </c>
      <c r="B53" s="6" t="s">
        <v>60</v>
      </c>
      <c r="C53" s="7" t="s">
        <v>5</v>
      </c>
      <c r="D53" s="8" t="s">
        <v>61</v>
      </c>
    </row>
    <row r="54" customFormat="false" ht="14.4" hidden="false" customHeight="false" outlineLevel="0" collapsed="false">
      <c r="A54" s="6" t="s">
        <v>55</v>
      </c>
      <c r="B54" s="6" t="s">
        <v>62</v>
      </c>
      <c r="C54" s="7" t="s">
        <v>5</v>
      </c>
      <c r="D54" s="8" t="s">
        <v>63</v>
      </c>
    </row>
    <row r="55" customFormat="false" ht="14.4" hidden="false" customHeight="false" outlineLevel="0" collapsed="false">
      <c r="A55" s="6" t="s">
        <v>55</v>
      </c>
      <c r="B55" s="6" t="s">
        <v>64</v>
      </c>
      <c r="C55" s="7" t="s">
        <v>5</v>
      </c>
      <c r="D55" s="8" t="s">
        <v>65</v>
      </c>
    </row>
    <row r="56" customFormat="false" ht="14.4" hidden="false" customHeight="false" outlineLevel="0" collapsed="false">
      <c r="A56" s="6" t="s">
        <v>55</v>
      </c>
      <c r="B56" s="6" t="s">
        <v>66</v>
      </c>
      <c r="C56" s="7" t="s">
        <v>5</v>
      </c>
      <c r="D56" s="8" t="s">
        <v>67</v>
      </c>
    </row>
    <row r="57" customFormat="false" ht="14.4" hidden="false" customHeight="false" outlineLevel="0" collapsed="false">
      <c r="A57" s="6" t="s">
        <v>55</v>
      </c>
      <c r="B57" s="6" t="s">
        <v>68</v>
      </c>
      <c r="C57" s="7" t="s">
        <v>5</v>
      </c>
      <c r="D57" s="8" t="s">
        <v>69</v>
      </c>
    </row>
    <row r="58" customFormat="false" ht="14.4" hidden="false" customHeight="false" outlineLevel="0" collapsed="false">
      <c r="A58" s="6" t="s">
        <v>55</v>
      </c>
      <c r="B58" s="6" t="s">
        <v>70</v>
      </c>
      <c r="C58" s="7" t="s">
        <v>5</v>
      </c>
      <c r="D58" s="8" t="s">
        <v>71</v>
      </c>
    </row>
    <row r="59" customFormat="false" ht="14.4" hidden="false" customHeight="false" outlineLevel="0" collapsed="false">
      <c r="A59" s="6" t="s">
        <v>55</v>
      </c>
      <c r="B59" s="6" t="s">
        <v>72</v>
      </c>
      <c r="C59" s="7" t="s">
        <v>5</v>
      </c>
      <c r="D59" s="8" t="s">
        <v>73</v>
      </c>
    </row>
    <row r="60" customFormat="false" ht="14.4" hidden="false" customHeight="false" outlineLevel="0" collapsed="false">
      <c r="A60" s="6" t="s">
        <v>55</v>
      </c>
      <c r="B60" s="6" t="s">
        <v>74</v>
      </c>
      <c r="C60" s="7" t="s">
        <v>5</v>
      </c>
      <c r="D60" s="8" t="s">
        <v>75</v>
      </c>
    </row>
    <row r="61" customFormat="false" ht="14.4" hidden="false" customHeight="false" outlineLevel="0" collapsed="false">
      <c r="A61" s="6" t="s">
        <v>55</v>
      </c>
      <c r="B61" s="6" t="s">
        <v>76</v>
      </c>
      <c r="C61" s="7" t="s">
        <v>5</v>
      </c>
      <c r="D61" s="8" t="s">
        <v>77</v>
      </c>
    </row>
    <row r="62" customFormat="false" ht="14.4" hidden="false" customHeight="false" outlineLevel="0" collapsed="false">
      <c r="A62" s="6" t="s">
        <v>55</v>
      </c>
      <c r="B62" s="6" t="s">
        <v>78</v>
      </c>
      <c r="C62" s="7" t="s">
        <v>5</v>
      </c>
      <c r="D62" s="8" t="s">
        <v>79</v>
      </c>
    </row>
    <row r="63" customFormat="false" ht="14.4" hidden="false" customHeight="false" outlineLevel="0" collapsed="false">
      <c r="A63" s="6" t="s">
        <v>55</v>
      </c>
      <c r="B63" s="6" t="s">
        <v>80</v>
      </c>
      <c r="C63" s="7" t="s">
        <v>5</v>
      </c>
      <c r="D63" s="8" t="s">
        <v>81</v>
      </c>
    </row>
    <row r="64" customFormat="false" ht="14.4" hidden="false" customHeight="false" outlineLevel="0" collapsed="false">
      <c r="A64" s="6" t="s">
        <v>55</v>
      </c>
      <c r="B64" s="6" t="s">
        <v>82</v>
      </c>
      <c r="C64" s="7" t="s">
        <v>5</v>
      </c>
      <c r="D64" s="8" t="s">
        <v>83</v>
      </c>
    </row>
    <row r="65" customFormat="false" ht="14.4" hidden="false" customHeight="false" outlineLevel="0" collapsed="false">
      <c r="A65" s="6" t="s">
        <v>55</v>
      </c>
      <c r="B65" s="6" t="s">
        <v>84</v>
      </c>
      <c r="C65" s="7" t="s">
        <v>5</v>
      </c>
      <c r="D65" s="8" t="s">
        <v>85</v>
      </c>
    </row>
    <row r="66" customFormat="false" ht="14.4" hidden="false" customHeight="false" outlineLevel="0" collapsed="false">
      <c r="A66" s="6" t="s">
        <v>55</v>
      </c>
      <c r="B66" s="6" t="s">
        <v>86</v>
      </c>
      <c r="C66" s="7" t="s">
        <v>5</v>
      </c>
      <c r="D66" s="8" t="s">
        <v>87</v>
      </c>
    </row>
    <row r="67" customFormat="false" ht="14.4" hidden="false" customHeight="false" outlineLevel="0" collapsed="false">
      <c r="A67" s="6" t="s">
        <v>55</v>
      </c>
      <c r="B67" s="6" t="s">
        <v>88</v>
      </c>
      <c r="C67" s="7" t="s">
        <v>5</v>
      </c>
      <c r="D67" s="8" t="s">
        <v>89</v>
      </c>
    </row>
    <row r="68" customFormat="false" ht="14.4" hidden="false" customHeight="false" outlineLevel="0" collapsed="false">
      <c r="A68" s="6" t="s">
        <v>55</v>
      </c>
      <c r="B68" s="6" t="s">
        <v>90</v>
      </c>
      <c r="C68" s="7" t="s">
        <v>5</v>
      </c>
      <c r="D68" s="8" t="s">
        <v>91</v>
      </c>
    </row>
    <row r="69" customFormat="false" ht="14.4" hidden="false" customHeight="false" outlineLevel="0" collapsed="false">
      <c r="A69" s="6" t="s">
        <v>55</v>
      </c>
      <c r="B69" s="6" t="s">
        <v>92</v>
      </c>
      <c r="C69" s="7" t="s">
        <v>5</v>
      </c>
      <c r="D69" s="8" t="s">
        <v>93</v>
      </c>
    </row>
    <row r="70" customFormat="false" ht="14.4" hidden="false" customHeight="false" outlineLevel="0" collapsed="false">
      <c r="A70" s="6" t="s">
        <v>55</v>
      </c>
      <c r="B70" s="6" t="s">
        <v>94</v>
      </c>
      <c r="C70" s="7" t="s">
        <v>5</v>
      </c>
      <c r="D70" s="8" t="s">
        <v>95</v>
      </c>
    </row>
    <row r="71" customFormat="false" ht="14.4" hidden="false" customHeight="false" outlineLevel="0" collapsed="false">
      <c r="A71" s="12"/>
      <c r="B71" s="12"/>
      <c r="C71" s="10"/>
      <c r="D71" s="13"/>
    </row>
    <row r="72" customFormat="false" ht="14.4" hidden="false" customHeight="false" outlineLevel="0" collapsed="false">
      <c r="A72" s="6" t="s">
        <v>96</v>
      </c>
      <c r="B72" s="6" t="e">
        <f aca="false">#REF!</f>
        <v>#REF!</v>
      </c>
      <c r="C72" s="7" t="s">
        <v>5</v>
      </c>
      <c r="D72" s="8" t="s">
        <v>57</v>
      </c>
    </row>
    <row r="73" customFormat="false" ht="28.8" hidden="false" customHeight="false" outlineLevel="0" collapsed="false">
      <c r="A73" s="6" t="s">
        <v>96</v>
      </c>
      <c r="B73" s="6" t="e">
        <f aca="false">#REF!</f>
        <v>#REF!</v>
      </c>
      <c r="C73" s="7" t="s">
        <v>5</v>
      </c>
      <c r="D73" s="8" t="s">
        <v>97</v>
      </c>
    </row>
    <row r="74" customFormat="false" ht="14.4" hidden="false" customHeight="false" outlineLevel="0" collapsed="false">
      <c r="A74" s="6" t="s">
        <v>96</v>
      </c>
      <c r="B74" s="6" t="e">
        <f aca="false">#REF!</f>
        <v>#REF!</v>
      </c>
      <c r="C74" s="7" t="s">
        <v>5</v>
      </c>
      <c r="D74" s="8" t="s">
        <v>98</v>
      </c>
    </row>
    <row r="75" customFormat="false" ht="14.4" hidden="false" customHeight="false" outlineLevel="0" collapsed="false">
      <c r="A75" s="6" t="s">
        <v>96</v>
      </c>
      <c r="B75" s="6" t="e">
        <f aca="false">#REF!</f>
        <v>#REF!</v>
      </c>
      <c r="C75" s="7" t="s">
        <v>99</v>
      </c>
      <c r="D75" s="8" t="s">
        <v>100</v>
      </c>
    </row>
    <row r="76" customFormat="false" ht="14.4" hidden="false" customHeight="false" outlineLevel="0" collapsed="false">
      <c r="A76" s="6" t="s">
        <v>96</v>
      </c>
      <c r="B76" s="6" t="e">
        <f aca="false">#REF!</f>
        <v>#REF!</v>
      </c>
      <c r="C76" s="7" t="s">
        <v>101</v>
      </c>
      <c r="D76" s="8" t="s">
        <v>102</v>
      </c>
    </row>
    <row r="77" customFormat="false" ht="28.8" hidden="false" customHeight="false" outlineLevel="0" collapsed="false">
      <c r="A77" s="6" t="s">
        <v>96</v>
      </c>
      <c r="B77" s="6" t="e">
        <f aca="false">#REF!</f>
        <v>#REF!</v>
      </c>
      <c r="C77" s="7" t="s">
        <v>99</v>
      </c>
      <c r="D77" s="8" t="s">
        <v>103</v>
      </c>
    </row>
    <row r="78" customFormat="false" ht="28.8" hidden="false" customHeight="false" outlineLevel="0" collapsed="false">
      <c r="A78" s="6" t="s">
        <v>96</v>
      </c>
      <c r="B78" s="6" t="e">
        <f aca="false">#REF!</f>
        <v>#REF!</v>
      </c>
      <c r="C78" s="7" t="s">
        <v>101</v>
      </c>
      <c r="D78" s="8" t="s">
        <v>104</v>
      </c>
    </row>
    <row r="79" customFormat="false" ht="14.4" hidden="false" customHeight="false" outlineLevel="0" collapsed="false">
      <c r="A79" s="6" t="s">
        <v>96</v>
      </c>
      <c r="B79" s="6" t="e">
        <f aca="false">#REF!</f>
        <v>#REF!</v>
      </c>
      <c r="C79" s="7" t="s">
        <v>5</v>
      </c>
      <c r="D79" s="8" t="s">
        <v>105</v>
      </c>
    </row>
    <row r="80" customFormat="false" ht="14.4" hidden="false" customHeight="false" outlineLevel="0" collapsed="false">
      <c r="A80" s="6" t="s">
        <v>96</v>
      </c>
      <c r="B80" s="6" t="e">
        <f aca="false">#REF!</f>
        <v>#REF!</v>
      </c>
      <c r="C80" s="7" t="s">
        <v>106</v>
      </c>
      <c r="D80" s="8" t="s">
        <v>107</v>
      </c>
    </row>
    <row r="81" customFormat="false" ht="14.4" hidden="false" customHeight="false" outlineLevel="0" collapsed="false">
      <c r="A81" s="6" t="s">
        <v>96</v>
      </c>
      <c r="B81" s="6" t="e">
        <f aca="false">#REF!</f>
        <v>#REF!</v>
      </c>
      <c r="C81" s="7" t="s">
        <v>108</v>
      </c>
      <c r="D81" s="8" t="s">
        <v>109</v>
      </c>
    </row>
    <row r="82" customFormat="false" ht="14.4" hidden="false" customHeight="false" outlineLevel="0" collapsed="false">
      <c r="A82" s="6" t="s">
        <v>96</v>
      </c>
      <c r="B82" s="6" t="e">
        <f aca="false">#REF!</f>
        <v>#REF!</v>
      </c>
      <c r="C82" s="7" t="s">
        <v>5</v>
      </c>
      <c r="D82" s="8" t="s">
        <v>110</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AV19"/>
  <sheetViews>
    <sheetView showFormulas="false" showGridLines="true" showRowColHeaders="true" showZeros="true" rightToLeft="false" tabSelected="true" showOutlineSymbols="true" defaultGridColor="true" view="normal" topLeftCell="I1" colorId="64" zoomScale="166" zoomScaleNormal="166" zoomScalePageLayoutView="100" workbookViewId="0">
      <selection pane="topLeft" activeCell="P7" activeCellId="0" sqref="P7"/>
    </sheetView>
  </sheetViews>
  <sheetFormatPr defaultRowHeight="14.4" zeroHeight="false" outlineLevelRow="0" outlineLevelCol="0"/>
  <cols>
    <col collapsed="false" customWidth="true" hidden="false" outlineLevel="0" max="1" min="1" style="7" width="21.22"/>
    <col collapsed="false" customWidth="true" hidden="false" outlineLevel="0" max="2" min="2" style="7" width="26.66"/>
    <col collapsed="false" customWidth="true" hidden="false" outlineLevel="0" max="3" min="3" style="7" width="9.78"/>
    <col collapsed="false" customWidth="true" hidden="false" outlineLevel="0" max="12" min="4" style="7" width="8.78"/>
    <col collapsed="false" customWidth="true" hidden="false" outlineLevel="0" max="13" min="13" style="7" width="6.78"/>
    <col collapsed="false" customWidth="true" hidden="false" outlineLevel="0" max="14" min="14" style="7" width="8.78"/>
    <col collapsed="false" customWidth="true" hidden="false" outlineLevel="0" max="15" min="15" style="7" width="11.99"/>
    <col collapsed="false" customWidth="true" hidden="false" outlineLevel="0" max="16" min="16" style="7" width="8.78"/>
    <col collapsed="false" customWidth="true" hidden="false" outlineLevel="0" max="17" min="17" style="7" width="10.45"/>
    <col collapsed="false" customWidth="true" hidden="false" outlineLevel="0" max="18" min="18" style="7" width="16.11"/>
    <col collapsed="false" customWidth="true" hidden="false" outlineLevel="0" max="19" min="19" style="7" width="15.78"/>
    <col collapsed="false" customWidth="true" hidden="false" outlineLevel="0" max="35" min="20" style="7" width="8.78"/>
    <col collapsed="false" customWidth="true" hidden="false" outlineLevel="0" max="36" min="36" style="7" width="11.99"/>
    <col collapsed="false" customWidth="true" hidden="false" outlineLevel="0" max="1025" min="37" style="7" width="8.78"/>
  </cols>
  <sheetData>
    <row r="1" customFormat="false" ht="14.4" hidden="false" customHeight="false" outlineLevel="0" collapsed="false">
      <c r="A1" s="14" t="s">
        <v>56</v>
      </c>
      <c r="B1" s="14" t="s">
        <v>111</v>
      </c>
      <c r="C1" s="14" t="s">
        <v>112</v>
      </c>
      <c r="D1" s="14" t="s">
        <v>113</v>
      </c>
      <c r="E1" s="14" t="s">
        <v>114</v>
      </c>
      <c r="F1" s="14" t="s">
        <v>115</v>
      </c>
      <c r="G1" s="14" t="s">
        <v>116</v>
      </c>
      <c r="H1" s="14" t="s">
        <v>117</v>
      </c>
      <c r="I1" s="14" t="s">
        <v>118</v>
      </c>
      <c r="J1" s="14" t="s">
        <v>119</v>
      </c>
      <c r="K1" s="14" t="s">
        <v>120</v>
      </c>
      <c r="L1" s="14" t="s">
        <v>121</v>
      </c>
      <c r="M1" s="14" t="s">
        <v>122</v>
      </c>
      <c r="N1" s="15" t="s">
        <v>123</v>
      </c>
      <c r="O1" s="15" t="s">
        <v>124</v>
      </c>
      <c r="P1" s="15" t="s">
        <v>125</v>
      </c>
      <c r="Q1" s="15" t="s">
        <v>126</v>
      </c>
      <c r="R1" s="15" t="s">
        <v>127</v>
      </c>
      <c r="S1" s="15" t="s">
        <v>128</v>
      </c>
      <c r="T1" s="15" t="s">
        <v>129</v>
      </c>
      <c r="U1" s="16" t="s">
        <v>130</v>
      </c>
      <c r="V1" s="16" t="s">
        <v>131</v>
      </c>
      <c r="W1" s="16" t="s">
        <v>132</v>
      </c>
      <c r="X1" s="16" t="s">
        <v>133</v>
      </c>
      <c r="Y1" s="16" t="s">
        <v>134</v>
      </c>
      <c r="Z1" s="16" t="s">
        <v>135</v>
      </c>
      <c r="AA1" s="16" t="s">
        <v>136</v>
      </c>
      <c r="AB1" s="17" t="s">
        <v>137</v>
      </c>
      <c r="AC1" s="17" t="s">
        <v>138</v>
      </c>
      <c r="AD1" s="17" t="s">
        <v>139</v>
      </c>
      <c r="AE1" s="17" t="s">
        <v>140</v>
      </c>
      <c r="AF1" s="17" t="s">
        <v>141</v>
      </c>
      <c r="AG1" s="17" t="s">
        <v>142</v>
      </c>
      <c r="AH1" s="17" t="s">
        <v>143</v>
      </c>
      <c r="AI1" s="18" t="s">
        <v>144</v>
      </c>
      <c r="AJ1" s="18" t="s">
        <v>145</v>
      </c>
      <c r="AK1" s="18" t="s">
        <v>146</v>
      </c>
      <c r="AL1" s="18" t="s">
        <v>147</v>
      </c>
      <c r="AM1" s="18" t="s">
        <v>148</v>
      </c>
      <c r="AN1" s="18" t="s">
        <v>149</v>
      </c>
      <c r="AO1" s="18" t="s">
        <v>150</v>
      </c>
      <c r="AP1" s="19" t="s">
        <v>151</v>
      </c>
      <c r="AQ1" s="19" t="s">
        <v>152</v>
      </c>
      <c r="AR1" s="19" t="s">
        <v>153</v>
      </c>
      <c r="AS1" s="19" t="s">
        <v>154</v>
      </c>
      <c r="AT1" s="19" t="s">
        <v>155</v>
      </c>
      <c r="AU1" s="19" t="s">
        <v>156</v>
      </c>
      <c r="AV1" s="19" t="s">
        <v>157</v>
      </c>
    </row>
    <row r="2" customFormat="false" ht="13.8" hidden="false" customHeight="false" outlineLevel="0" collapsed="false">
      <c r="A2" s="7" t="s">
        <v>158</v>
      </c>
      <c r="B2" s="7" t="s">
        <v>159</v>
      </c>
      <c r="C2" s="7" t="n">
        <v>0</v>
      </c>
      <c r="D2" s="7" t="n">
        <v>0.75</v>
      </c>
      <c r="E2" s="7" t="n">
        <v>1</v>
      </c>
      <c r="F2" s="7" t="n">
        <f aca="false">2*N2/((1+Q2)*(P2*N2)^(1/2))</f>
        <v>28.5518255306498</v>
      </c>
      <c r="G2" s="7" t="n">
        <v>4</v>
      </c>
      <c r="H2" s="7" t="n">
        <f aca="false">F2/G2</f>
        <v>7.13795638266245</v>
      </c>
      <c r="I2" s="7" t="n">
        <v>14</v>
      </c>
      <c r="J2" s="7" t="n">
        <v>0</v>
      </c>
      <c r="K2" s="7" t="n">
        <f aca="false">G2*3.1415*F2/2</f>
        <v>179.391119809073</v>
      </c>
      <c r="L2" s="7" t="n">
        <v>1</v>
      </c>
      <c r="M2" s="7" t="n">
        <v>1</v>
      </c>
      <c r="N2" s="7" t="n">
        <v>650</v>
      </c>
      <c r="O2" s="7" t="n">
        <f aca="false">N2*2</f>
        <v>1300</v>
      </c>
      <c r="P2" s="7" t="n">
        <v>1.75</v>
      </c>
      <c r="Q2" s="7" t="n">
        <v>0.35</v>
      </c>
      <c r="R2" s="7" t="n">
        <f aca="false">ATAN(-TAN(0*3.1415/180)+(4*(1-Q2))/((1+Q2)*P2))*180/3.1415</f>
        <v>47.7414326962658</v>
      </c>
      <c r="S2" s="7" t="n">
        <f aca="false">ATAN(TAN(R2*3.1415/180)+(Q2-1)/((1+Q2)*P2))*180/3.1415</f>
        <v>39.5373232433892</v>
      </c>
      <c r="T2" s="7" t="n">
        <v>1.1</v>
      </c>
      <c r="U2" s="7" t="n">
        <v>0</v>
      </c>
      <c r="V2" s="7" t="n">
        <v>0</v>
      </c>
      <c r="W2" s="7" t="n">
        <v>0</v>
      </c>
      <c r="X2" s="7" t="n">
        <v>0</v>
      </c>
      <c r="Y2" s="7" t="n">
        <v>0</v>
      </c>
      <c r="Z2" s="7" t="n">
        <v>0</v>
      </c>
      <c r="AA2" s="7" t="n">
        <v>0</v>
      </c>
      <c r="AB2" s="7" t="n">
        <v>0</v>
      </c>
      <c r="AC2" s="7" t="n">
        <v>0</v>
      </c>
      <c r="AD2" s="7" t="n">
        <v>0</v>
      </c>
      <c r="AE2" s="7" t="n">
        <v>0</v>
      </c>
      <c r="AF2" s="7" t="n">
        <v>0</v>
      </c>
      <c r="AG2" s="7" t="n">
        <v>0</v>
      </c>
      <c r="AH2" s="7" t="n">
        <v>0</v>
      </c>
      <c r="AI2" s="7" t="n">
        <f aca="false">(2/3)*P2*N2*(1+Q2)*0.06</f>
        <v>61.425</v>
      </c>
      <c r="AJ2" s="7" t="n">
        <f aca="false">2*AI2</f>
        <v>122.85</v>
      </c>
      <c r="AK2" s="7" t="n">
        <v>1.8</v>
      </c>
      <c r="AL2" s="7" t="n">
        <v>0.4</v>
      </c>
      <c r="AM2" s="7" t="n">
        <v>20</v>
      </c>
      <c r="AN2" s="7" t="n">
        <f aca="false">(2/3)*((2*AI2)/((SQRT(AK2*AI2))*(1+AL2)))*(1+AL2+AL2^2)/(1+AL2)</f>
        <v>6.19931342008665</v>
      </c>
      <c r="AO2" s="7" t="n">
        <v>1.1</v>
      </c>
      <c r="AP2" s="7" t="n">
        <v>0</v>
      </c>
      <c r="AQ2" s="7" t="n">
        <v>0</v>
      </c>
      <c r="AR2" s="7" t="n">
        <v>0</v>
      </c>
      <c r="AS2" s="7" t="n">
        <v>0</v>
      </c>
      <c r="AT2" s="7" t="n">
        <v>0</v>
      </c>
      <c r="AU2" s="7" t="n">
        <v>0</v>
      </c>
      <c r="AV2" s="7" t="n">
        <v>0</v>
      </c>
    </row>
    <row r="3" customFormat="false" ht="13.8" hidden="false" customHeight="false" outlineLevel="0" collapsed="false">
      <c r="A3" s="7" t="s">
        <v>160</v>
      </c>
      <c r="B3" s="7" t="s">
        <v>159</v>
      </c>
      <c r="C3" s="7" t="n">
        <v>0</v>
      </c>
      <c r="D3" s="7" t="n">
        <v>0.75</v>
      </c>
      <c r="E3" s="7" t="n">
        <v>1</v>
      </c>
      <c r="F3" s="7" t="n">
        <f aca="false">2*N3/((1+Q3)*(P3*N3)^(1/2))</f>
        <v>27.4317066599275</v>
      </c>
      <c r="G3" s="7" t="n">
        <v>4</v>
      </c>
      <c r="H3" s="7" t="n">
        <f aca="false">F3/G3</f>
        <v>6.85792666498186</v>
      </c>
      <c r="I3" s="7" t="n">
        <v>14</v>
      </c>
      <c r="J3" s="7" t="n">
        <v>0</v>
      </c>
      <c r="K3" s="7" t="n">
        <f aca="false">G3*3.1415*F3/2</f>
        <v>172.353412944324</v>
      </c>
      <c r="L3" s="7" t="n">
        <v>1</v>
      </c>
      <c r="M3" s="7" t="n">
        <v>1</v>
      </c>
      <c r="N3" s="7" t="n">
        <v>600</v>
      </c>
      <c r="O3" s="7" t="n">
        <f aca="false">N3*2</f>
        <v>1200</v>
      </c>
      <c r="P3" s="7" t="n">
        <v>1.75</v>
      </c>
      <c r="Q3" s="7" t="n">
        <v>0.35</v>
      </c>
      <c r="R3" s="7" t="n">
        <f aca="false">ATAN(-TAN(0*3.1415/180)+(4*(1-Q3))/((1+Q3)*P3))*180/3.1415</f>
        <v>47.7414326962658</v>
      </c>
      <c r="S3" s="7" t="n">
        <f aca="false">ATAN(TAN(R3*3.1415/180)+(Q3-1)/((1+Q3)*P3))*180/3.1415</f>
        <v>39.5373232433892</v>
      </c>
      <c r="T3" s="7" t="n">
        <v>1.1</v>
      </c>
      <c r="U3" s="7" t="n">
        <v>0</v>
      </c>
      <c r="V3" s="7" t="n">
        <v>0</v>
      </c>
      <c r="W3" s="7" t="n">
        <v>0</v>
      </c>
      <c r="X3" s="7" t="n">
        <v>0</v>
      </c>
      <c r="Y3" s="7" t="n">
        <v>0</v>
      </c>
      <c r="Z3" s="7" t="n">
        <v>0</v>
      </c>
      <c r="AA3" s="7" t="n">
        <v>0</v>
      </c>
      <c r="AB3" s="7" t="n">
        <v>0</v>
      </c>
      <c r="AC3" s="7" t="n">
        <v>0</v>
      </c>
      <c r="AD3" s="7" t="n">
        <v>0</v>
      </c>
      <c r="AE3" s="7" t="n">
        <v>0</v>
      </c>
      <c r="AF3" s="7" t="n">
        <v>0</v>
      </c>
      <c r="AG3" s="7" t="n">
        <v>0</v>
      </c>
      <c r="AH3" s="7" t="n">
        <v>0</v>
      </c>
      <c r="AI3" s="7" t="n">
        <f aca="false">(2/3)*P3*N3*(1+Q3)*0.06</f>
        <v>56.7</v>
      </c>
      <c r="AJ3" s="7" t="n">
        <f aca="false">2*AI3</f>
        <v>113.4</v>
      </c>
      <c r="AK3" s="7" t="n">
        <v>1.8</v>
      </c>
      <c r="AL3" s="7" t="n">
        <v>0.4</v>
      </c>
      <c r="AM3" s="7" t="n">
        <v>20</v>
      </c>
      <c r="AN3" s="7" t="n">
        <f aca="false">(2/3)*((2*AI3)/((SQRT(AK3*AI3))*(1+AL3)))*(1+AL3+AL3^2)/(1+AL3)</f>
        <v>5.95610767690546</v>
      </c>
      <c r="AO3" s="7" t="n">
        <v>1.1</v>
      </c>
      <c r="AP3" s="7" t="n">
        <v>0</v>
      </c>
      <c r="AQ3" s="7" t="n">
        <v>0</v>
      </c>
      <c r="AR3" s="7" t="n">
        <v>0</v>
      </c>
      <c r="AS3" s="7" t="n">
        <v>0</v>
      </c>
      <c r="AT3" s="7" t="n">
        <v>0</v>
      </c>
      <c r="AU3" s="7" t="n">
        <v>0</v>
      </c>
      <c r="AV3" s="7" t="n">
        <v>0</v>
      </c>
    </row>
    <row r="4" customFormat="false" ht="13.8" hidden="false" customHeight="false" outlineLevel="0" collapsed="false">
      <c r="A4" s="7" t="s">
        <v>161</v>
      </c>
      <c r="B4" s="7" t="s">
        <v>159</v>
      </c>
      <c r="C4" s="7" t="n">
        <v>0</v>
      </c>
      <c r="D4" s="7" t="n">
        <v>0.75</v>
      </c>
      <c r="E4" s="7" t="n">
        <v>1</v>
      </c>
      <c r="F4" s="7" t="n">
        <f aca="false">2*N4/((1+Q4)*(P4*N4)^(1/2))</f>
        <v>26.2638595682346</v>
      </c>
      <c r="G4" s="7" t="n">
        <v>4</v>
      </c>
      <c r="H4" s="7" t="n">
        <f aca="false">F4/G4</f>
        <v>6.56596489205865</v>
      </c>
      <c r="I4" s="7" t="n">
        <v>14</v>
      </c>
      <c r="J4" s="7" t="n">
        <v>0</v>
      </c>
      <c r="K4" s="7" t="n">
        <f aca="false">G4*3.1415*F4/2</f>
        <v>165.015829667218</v>
      </c>
      <c r="L4" s="7" t="n">
        <v>1</v>
      </c>
      <c r="M4" s="7" t="n">
        <v>1</v>
      </c>
      <c r="N4" s="7" t="n">
        <v>550</v>
      </c>
      <c r="O4" s="7" t="n">
        <f aca="false">N4*2</f>
        <v>1100</v>
      </c>
      <c r="P4" s="7" t="n">
        <v>1.75</v>
      </c>
      <c r="Q4" s="7" t="n">
        <v>0.35</v>
      </c>
      <c r="R4" s="7" t="n">
        <f aca="false">ATAN(-TAN(0*3.1415/180)+(4*(1-Q4))/((1+Q4)*P4))*180/3.1415</f>
        <v>47.7414326962658</v>
      </c>
      <c r="S4" s="7" t="n">
        <f aca="false">ATAN(TAN(R4*3.1415/180)+(Q4-1)/((1+Q4)*P4))*180/3.1415</f>
        <v>39.5373232433892</v>
      </c>
      <c r="T4" s="7" t="n">
        <v>1.1</v>
      </c>
      <c r="U4" s="7" t="n">
        <v>0</v>
      </c>
      <c r="V4" s="7" t="n">
        <v>0</v>
      </c>
      <c r="W4" s="7" t="n">
        <v>0</v>
      </c>
      <c r="X4" s="7" t="n">
        <v>0</v>
      </c>
      <c r="Y4" s="7" t="n">
        <v>0</v>
      </c>
      <c r="Z4" s="7" t="n">
        <v>0</v>
      </c>
      <c r="AA4" s="7" t="n">
        <v>0</v>
      </c>
      <c r="AB4" s="7" t="n">
        <v>0</v>
      </c>
      <c r="AC4" s="7" t="n">
        <v>0</v>
      </c>
      <c r="AD4" s="7" t="n">
        <v>0</v>
      </c>
      <c r="AE4" s="7" t="n">
        <v>0</v>
      </c>
      <c r="AF4" s="7" t="n">
        <v>0</v>
      </c>
      <c r="AG4" s="7" t="n">
        <v>0</v>
      </c>
      <c r="AH4" s="7" t="n">
        <v>0</v>
      </c>
      <c r="AI4" s="7" t="n">
        <f aca="false">(2/3)*P4*N4*(1+Q4)*0.06</f>
        <v>51.975</v>
      </c>
      <c r="AJ4" s="7" t="n">
        <f aca="false">2*AI4</f>
        <v>103.95</v>
      </c>
      <c r="AK4" s="7" t="n">
        <v>1.8</v>
      </c>
      <c r="AL4" s="7" t="n">
        <v>0.4</v>
      </c>
      <c r="AM4" s="7" t="n">
        <v>20</v>
      </c>
      <c r="AN4" s="7" t="n">
        <f aca="false">(2/3)*((2*AI4)/((SQRT(AK4*AI4))*(1+AL4)))*(1+AL4+AL4^2)/(1+AL4)</f>
        <v>5.70253894658492</v>
      </c>
      <c r="AO4" s="7" t="n">
        <v>1.1</v>
      </c>
      <c r="AP4" s="7" t="n">
        <v>0</v>
      </c>
      <c r="AQ4" s="7" t="n">
        <v>0</v>
      </c>
      <c r="AR4" s="7" t="n">
        <v>0</v>
      </c>
      <c r="AS4" s="7" t="n">
        <v>0</v>
      </c>
      <c r="AT4" s="7" t="n">
        <v>0</v>
      </c>
      <c r="AU4" s="7" t="n">
        <v>0</v>
      </c>
      <c r="AV4" s="7" t="n">
        <v>0</v>
      </c>
    </row>
    <row r="5" customFormat="false" ht="13.8" hidden="false" customHeight="false" outlineLevel="0" collapsed="false">
      <c r="A5" s="7" t="s">
        <v>162</v>
      </c>
      <c r="B5" s="7" t="s">
        <v>159</v>
      </c>
      <c r="C5" s="7" t="n">
        <v>0</v>
      </c>
      <c r="D5" s="7" t="n">
        <v>0.75</v>
      </c>
      <c r="E5" s="7" t="n">
        <v>1</v>
      </c>
      <c r="F5" s="7" t="n">
        <f aca="false">2*N5/((1+Q5)*(P5*N5)^(1/2))</f>
        <v>25.0416075475116</v>
      </c>
      <c r="G5" s="7" t="n">
        <v>4</v>
      </c>
      <c r="H5" s="7" t="n">
        <f aca="false">F5/G5</f>
        <v>6.2604018868779</v>
      </c>
      <c r="I5" s="7" t="n">
        <v>14</v>
      </c>
      <c r="J5" s="7" t="n">
        <v>0</v>
      </c>
      <c r="K5" s="7" t="n">
        <f aca="false">G5*3.1415*F5/2</f>
        <v>157.336420221015</v>
      </c>
      <c r="L5" s="7" t="n">
        <v>1</v>
      </c>
      <c r="M5" s="7" t="n">
        <v>1</v>
      </c>
      <c r="N5" s="7" t="n">
        <v>500</v>
      </c>
      <c r="O5" s="7" t="n">
        <f aca="false">N5*2</f>
        <v>1000</v>
      </c>
      <c r="P5" s="7" t="n">
        <v>1.75</v>
      </c>
      <c r="Q5" s="7" t="n">
        <v>0.35</v>
      </c>
      <c r="R5" s="7" t="n">
        <f aca="false">ATAN(-TAN(0*3.1415/180)+(4*(1-Q5))/((1+Q5)*P5))*180/3.1415</f>
        <v>47.7414326962658</v>
      </c>
      <c r="S5" s="7" t="n">
        <f aca="false">ATAN(TAN(R5*3.1415/180)+(Q5-1)/((1+Q5)*P5))*180/3.1415</f>
        <v>39.5373232433892</v>
      </c>
      <c r="T5" s="7" t="n">
        <v>1.1</v>
      </c>
      <c r="U5" s="7" t="n">
        <v>0</v>
      </c>
      <c r="V5" s="7" t="n">
        <v>0</v>
      </c>
      <c r="W5" s="7" t="n">
        <v>0</v>
      </c>
      <c r="X5" s="7" t="n">
        <v>0</v>
      </c>
      <c r="Y5" s="7" t="n">
        <v>0</v>
      </c>
      <c r="Z5" s="7" t="n">
        <v>0</v>
      </c>
      <c r="AA5" s="7" t="n">
        <v>0</v>
      </c>
      <c r="AB5" s="7" t="n">
        <v>0</v>
      </c>
      <c r="AC5" s="7" t="n">
        <v>0</v>
      </c>
      <c r="AD5" s="7" t="n">
        <v>0</v>
      </c>
      <c r="AE5" s="7" t="n">
        <v>0</v>
      </c>
      <c r="AF5" s="7" t="n">
        <v>0</v>
      </c>
      <c r="AG5" s="7" t="n">
        <v>0</v>
      </c>
      <c r="AH5" s="7" t="n">
        <v>0</v>
      </c>
      <c r="AI5" s="7" t="n">
        <f aca="false">(2/3)*P5*N5*(1+Q5)*0.06</f>
        <v>47.25</v>
      </c>
      <c r="AJ5" s="7" t="n">
        <f aca="false">2*AI5</f>
        <v>94.5</v>
      </c>
      <c r="AK5" s="7" t="n">
        <v>1.8</v>
      </c>
      <c r="AL5" s="7" t="n">
        <v>0.4</v>
      </c>
      <c r="AM5" s="7" t="n">
        <v>20</v>
      </c>
      <c r="AN5" s="7" t="n">
        <f aca="false">(2/3)*((2*AI5)/((SQRT(AK5*AI5))*(1+AL5)))*(1+AL5+AL5^2)/(1+AL5)</f>
        <v>5.43715754928469</v>
      </c>
      <c r="AO5" s="7" t="n">
        <v>1.1</v>
      </c>
      <c r="AP5" s="7" t="n">
        <v>0</v>
      </c>
      <c r="AQ5" s="7" t="n">
        <v>0</v>
      </c>
      <c r="AR5" s="7" t="n">
        <v>0</v>
      </c>
      <c r="AS5" s="7" t="n">
        <v>0</v>
      </c>
      <c r="AT5" s="7" t="n">
        <v>0</v>
      </c>
      <c r="AU5" s="7" t="n">
        <v>0</v>
      </c>
      <c r="AV5" s="7" t="n">
        <v>0</v>
      </c>
    </row>
    <row r="6" customFormat="false" ht="13.8" hidden="false" customHeight="false" outlineLevel="0" collapsed="false">
      <c r="A6" s="7" t="s">
        <v>163</v>
      </c>
      <c r="B6" s="7" t="s">
        <v>159</v>
      </c>
      <c r="C6" s="7" t="n">
        <v>0</v>
      </c>
      <c r="D6" s="7" t="n">
        <v>0.75</v>
      </c>
      <c r="E6" s="7" t="n">
        <v>1</v>
      </c>
      <c r="F6" s="7" t="n">
        <f aca="false">2*N6/((1+Q6)*(P6*N6)^(1/2))</f>
        <v>23.7565548366599</v>
      </c>
      <c r="G6" s="7" t="n">
        <v>4</v>
      </c>
      <c r="H6" s="7" t="n">
        <f aca="false">F6/G6</f>
        <v>5.93913870916499</v>
      </c>
      <c r="I6" s="7" t="n">
        <v>14</v>
      </c>
      <c r="J6" s="7" t="n">
        <v>0</v>
      </c>
      <c r="K6" s="7" t="n">
        <f aca="false">G6*3.1415*F6/2</f>
        <v>149.262434038734</v>
      </c>
      <c r="L6" s="7" t="n">
        <v>1</v>
      </c>
      <c r="M6" s="7" t="n">
        <v>1</v>
      </c>
      <c r="N6" s="7" t="n">
        <v>450</v>
      </c>
      <c r="O6" s="7" t="n">
        <f aca="false">N6*2</f>
        <v>900</v>
      </c>
      <c r="P6" s="7" t="n">
        <v>1.75</v>
      </c>
      <c r="Q6" s="7" t="n">
        <v>0.35</v>
      </c>
      <c r="R6" s="7" t="n">
        <f aca="false">ATAN(-TAN(0*3.1415/180)+(4*(1-Q6))/((1+Q6)*P6))*180/3.1415</f>
        <v>47.7414326962658</v>
      </c>
      <c r="S6" s="7" t="n">
        <f aca="false">ATAN(TAN(R6*3.1415/180)+(Q6-1)/((1+Q6)*P6))*180/3.1415</f>
        <v>39.5373232433892</v>
      </c>
      <c r="T6" s="7" t="n">
        <v>1.1</v>
      </c>
      <c r="U6" s="7" t="n">
        <v>0</v>
      </c>
      <c r="V6" s="7" t="n">
        <v>0</v>
      </c>
      <c r="W6" s="7" t="n">
        <v>0</v>
      </c>
      <c r="X6" s="7" t="n">
        <v>0</v>
      </c>
      <c r="Y6" s="7" t="n">
        <v>0</v>
      </c>
      <c r="Z6" s="7" t="n">
        <v>0</v>
      </c>
      <c r="AA6" s="7" t="n">
        <v>0</v>
      </c>
      <c r="AB6" s="7" t="n">
        <v>0</v>
      </c>
      <c r="AC6" s="7" t="n">
        <v>0</v>
      </c>
      <c r="AD6" s="7" t="n">
        <v>0</v>
      </c>
      <c r="AE6" s="7" t="n">
        <v>0</v>
      </c>
      <c r="AF6" s="7" t="n">
        <v>0</v>
      </c>
      <c r="AG6" s="7" t="n">
        <v>0</v>
      </c>
      <c r="AH6" s="7" t="n">
        <v>0</v>
      </c>
      <c r="AI6" s="7" t="n">
        <f aca="false">(2/3)*P6*N6*(1+Q6)*0.06</f>
        <v>42.525</v>
      </c>
      <c r="AJ6" s="7" t="n">
        <f aca="false">2*AI6</f>
        <v>85.05</v>
      </c>
      <c r="AK6" s="7" t="n">
        <v>1.8</v>
      </c>
      <c r="AL6" s="7" t="n">
        <v>0.4</v>
      </c>
      <c r="AM6" s="7" t="n">
        <v>20</v>
      </c>
      <c r="AN6" s="7" t="n">
        <f aca="false">(2/3)*((2*AI6)/((SQRT(AK6*AI6))*(1+AL6)))*(1+AL6+AL6^2)/(1+AL6)</f>
        <v>5.15814055587564</v>
      </c>
      <c r="AO6" s="7" t="n">
        <v>1.1</v>
      </c>
      <c r="AP6" s="7" t="n">
        <v>0</v>
      </c>
      <c r="AQ6" s="7" t="n">
        <v>0</v>
      </c>
      <c r="AR6" s="7" t="n">
        <v>0</v>
      </c>
      <c r="AS6" s="7" t="n">
        <v>0</v>
      </c>
      <c r="AT6" s="7" t="n">
        <v>0</v>
      </c>
      <c r="AU6" s="7" t="n">
        <v>0</v>
      </c>
      <c r="AV6" s="7" t="n">
        <v>0</v>
      </c>
    </row>
    <row r="7" customFormat="false" ht="13.8" hidden="false" customHeight="false" outlineLevel="0" collapsed="false">
      <c r="A7" s="7" t="s">
        <v>164</v>
      </c>
      <c r="B7" s="7" t="s">
        <v>159</v>
      </c>
      <c r="C7" s="7" t="n">
        <v>0</v>
      </c>
      <c r="D7" s="7" t="n">
        <v>0.75</v>
      </c>
      <c r="E7" s="7" t="n">
        <v>1</v>
      </c>
      <c r="F7" s="7" t="n">
        <f aca="false">2*N7/((1+Q7)*(P7*N7)^(1/2))</f>
        <v>26.7077872256592</v>
      </c>
      <c r="G7" s="7" t="n">
        <v>4</v>
      </c>
      <c r="H7" s="7" t="n">
        <f aca="false">F7/G7</f>
        <v>6.67694680641479</v>
      </c>
      <c r="I7" s="7" t="n">
        <v>14</v>
      </c>
      <c r="J7" s="7" t="n">
        <v>0</v>
      </c>
      <c r="K7" s="7" t="n">
        <f aca="false">G7*3.1415*F7/2</f>
        <v>167.805027138817</v>
      </c>
      <c r="L7" s="7" t="n">
        <v>1</v>
      </c>
      <c r="M7" s="7" t="n">
        <v>1</v>
      </c>
      <c r="N7" s="7" t="n">
        <v>650</v>
      </c>
      <c r="O7" s="7" t="n">
        <f aca="false">N7*2</f>
        <v>1300</v>
      </c>
      <c r="P7" s="7" t="n">
        <v>2</v>
      </c>
      <c r="Q7" s="7" t="n">
        <v>0.35</v>
      </c>
      <c r="R7" s="7" t="n">
        <f aca="false">ATAN(-TAN(0*3.1415/180)+(4*(1-Q7))/((1+Q7)*P7))*180/3.1415</f>
        <v>43.9203711372402</v>
      </c>
      <c r="S7" s="7" t="n">
        <f aca="false">ATAN(TAN(R7*3.1415/180)+(Q7-1)/((1+Q7)*P7))*180/3.1415</f>
        <v>35.8387099293526</v>
      </c>
      <c r="T7" s="7" t="n">
        <v>1.1</v>
      </c>
      <c r="U7" s="7" t="n">
        <v>0</v>
      </c>
      <c r="V7" s="7" t="n">
        <v>0</v>
      </c>
      <c r="W7" s="7" t="n">
        <v>0</v>
      </c>
      <c r="X7" s="7" t="n">
        <v>0</v>
      </c>
      <c r="Y7" s="7" t="n">
        <v>0</v>
      </c>
      <c r="Z7" s="7" t="n">
        <v>0</v>
      </c>
      <c r="AA7" s="7" t="n">
        <v>0</v>
      </c>
      <c r="AB7" s="7" t="n">
        <v>0</v>
      </c>
      <c r="AC7" s="7" t="n">
        <v>0</v>
      </c>
      <c r="AD7" s="7" t="n">
        <v>0</v>
      </c>
      <c r="AE7" s="7" t="n">
        <v>0</v>
      </c>
      <c r="AF7" s="7" t="n">
        <v>0</v>
      </c>
      <c r="AG7" s="7" t="n">
        <v>0</v>
      </c>
      <c r="AH7" s="7" t="n">
        <v>0</v>
      </c>
      <c r="AI7" s="7" t="n">
        <f aca="false">(2/3)*P7*N7*(1+Q7)*0.06</f>
        <v>70.2</v>
      </c>
      <c r="AJ7" s="7" t="n">
        <f aca="false">2*AI7</f>
        <v>140.4</v>
      </c>
      <c r="AK7" s="7" t="n">
        <v>1.8</v>
      </c>
      <c r="AL7" s="7" t="n">
        <v>0.4</v>
      </c>
      <c r="AM7" s="7" t="n">
        <v>20</v>
      </c>
      <c r="AN7" s="7" t="n">
        <f aca="false">(2/3)*((2*AI7)/((SQRT(AK7*AI7))*(1+AL7)))*(1+AL7+AL7^2)/(1+AL7)</f>
        <v>6.62734481462687</v>
      </c>
      <c r="AO7" s="7" t="n">
        <v>1.1</v>
      </c>
      <c r="AP7" s="7" t="n">
        <v>0</v>
      </c>
      <c r="AQ7" s="7" t="n">
        <v>0</v>
      </c>
      <c r="AR7" s="7" t="n">
        <v>0</v>
      </c>
      <c r="AS7" s="7" t="n">
        <v>0</v>
      </c>
      <c r="AT7" s="7" t="n">
        <v>0</v>
      </c>
      <c r="AU7" s="7" t="n">
        <v>0</v>
      </c>
      <c r="AV7" s="7" t="n">
        <v>0</v>
      </c>
    </row>
    <row r="8" customFormat="false" ht="13.8" hidden="false" customHeight="false" outlineLevel="0" collapsed="false">
      <c r="A8" s="7" t="s">
        <v>165</v>
      </c>
      <c r="B8" s="7" t="s">
        <v>159</v>
      </c>
      <c r="C8" s="7" t="n">
        <v>0</v>
      </c>
      <c r="D8" s="7" t="n">
        <v>0.75</v>
      </c>
      <c r="E8" s="7" t="n">
        <v>1</v>
      </c>
      <c r="F8" s="7" t="n">
        <f aca="false">2*N8/((1+Q8)*(P8*N8)^(1/2))</f>
        <v>25.6600119639834</v>
      </c>
      <c r="G8" s="7" t="n">
        <v>4</v>
      </c>
      <c r="H8" s="7" t="n">
        <f aca="false">F8/G8</f>
        <v>6.41500299099584</v>
      </c>
      <c r="I8" s="7" t="n">
        <v>14</v>
      </c>
      <c r="J8" s="7" t="n">
        <v>0</v>
      </c>
      <c r="K8" s="7" t="n">
        <f aca="false">G8*3.1415*F8/2</f>
        <v>161.221855169707</v>
      </c>
      <c r="L8" s="7" t="n">
        <v>1</v>
      </c>
      <c r="M8" s="7" t="n">
        <v>1</v>
      </c>
      <c r="N8" s="7" t="n">
        <v>600</v>
      </c>
      <c r="O8" s="7" t="n">
        <f aca="false">N8*2</f>
        <v>1200</v>
      </c>
      <c r="P8" s="7" t="n">
        <v>2</v>
      </c>
      <c r="Q8" s="7" t="n">
        <v>0.35</v>
      </c>
      <c r="R8" s="7" t="n">
        <f aca="false">ATAN(-TAN(0*3.1415/180)+(4*(1-Q8))/((1+Q8)*P8))*180/3.1415</f>
        <v>43.9203711372402</v>
      </c>
      <c r="S8" s="7" t="n">
        <f aca="false">ATAN(TAN(R8*3.1415/180)+(Q8-1)/((1+Q8)*P8))*180/3.1415</f>
        <v>35.8387099293526</v>
      </c>
      <c r="T8" s="7" t="n">
        <v>1.1</v>
      </c>
      <c r="U8" s="7" t="n">
        <v>0</v>
      </c>
      <c r="V8" s="7" t="n">
        <v>0</v>
      </c>
      <c r="W8" s="7" t="n">
        <v>0</v>
      </c>
      <c r="X8" s="7" t="n">
        <v>0</v>
      </c>
      <c r="Y8" s="7" t="n">
        <v>0</v>
      </c>
      <c r="Z8" s="7" t="n">
        <v>0</v>
      </c>
      <c r="AA8" s="7" t="n">
        <v>0</v>
      </c>
      <c r="AB8" s="7" t="n">
        <v>0</v>
      </c>
      <c r="AC8" s="7" t="n">
        <v>0</v>
      </c>
      <c r="AD8" s="7" t="n">
        <v>0</v>
      </c>
      <c r="AE8" s="7" t="n">
        <v>0</v>
      </c>
      <c r="AF8" s="7" t="n">
        <v>0</v>
      </c>
      <c r="AG8" s="7" t="n">
        <v>0</v>
      </c>
      <c r="AH8" s="7" t="n">
        <v>0</v>
      </c>
      <c r="AI8" s="7" t="n">
        <f aca="false">(2/3)*P8*N8*(1+Q8)*0.06</f>
        <v>64.8</v>
      </c>
      <c r="AJ8" s="7" t="n">
        <f aca="false">2*AI8</f>
        <v>129.6</v>
      </c>
      <c r="AK8" s="7" t="n">
        <v>1.8</v>
      </c>
      <c r="AL8" s="7" t="n">
        <v>0.4</v>
      </c>
      <c r="AM8" s="7" t="n">
        <v>20</v>
      </c>
      <c r="AN8" s="7" t="n">
        <f aca="false">(2/3)*((2*AI8)/((SQRT(AK8*AI8))*(1+AL8)))*(1+AL8+AL8^2)/(1+AL8)</f>
        <v>6.36734693877551</v>
      </c>
      <c r="AO8" s="7" t="n">
        <v>1.1</v>
      </c>
      <c r="AP8" s="7" t="n">
        <v>0</v>
      </c>
      <c r="AQ8" s="7" t="n">
        <v>0</v>
      </c>
      <c r="AR8" s="7" t="n">
        <v>0</v>
      </c>
      <c r="AS8" s="7" t="n">
        <v>0</v>
      </c>
      <c r="AT8" s="7" t="n">
        <v>0</v>
      </c>
      <c r="AU8" s="7" t="n">
        <v>0</v>
      </c>
      <c r="AV8" s="7" t="n">
        <v>0</v>
      </c>
    </row>
    <row r="9" customFormat="false" ht="13.8" hidden="false" customHeight="false" outlineLevel="0" collapsed="false">
      <c r="A9" s="7" t="s">
        <v>166</v>
      </c>
      <c r="B9" s="7" t="s">
        <v>159</v>
      </c>
      <c r="C9" s="7" t="n">
        <v>0</v>
      </c>
      <c r="D9" s="7" t="n">
        <v>0.75</v>
      </c>
      <c r="E9" s="7" t="n">
        <v>1</v>
      </c>
      <c r="F9" s="7" t="n">
        <f aca="false">2*N9/((1+Q9)*(P9*N9)^(1/2))</f>
        <v>24.5675910396696</v>
      </c>
      <c r="G9" s="7" t="n">
        <v>4</v>
      </c>
      <c r="H9" s="7" t="n">
        <f aca="false">F9/G9</f>
        <v>6.14189775991741</v>
      </c>
      <c r="I9" s="7" t="n">
        <v>14</v>
      </c>
      <c r="J9" s="7" t="n">
        <v>0</v>
      </c>
      <c r="K9" s="7" t="n">
        <f aca="false">G9*3.1415*F9/2</f>
        <v>154.358174502244</v>
      </c>
      <c r="L9" s="7" t="n">
        <v>1</v>
      </c>
      <c r="M9" s="7" t="n">
        <v>1</v>
      </c>
      <c r="N9" s="7" t="n">
        <v>550</v>
      </c>
      <c r="O9" s="7" t="n">
        <f aca="false">N9*2</f>
        <v>1100</v>
      </c>
      <c r="P9" s="7" t="n">
        <v>2</v>
      </c>
      <c r="Q9" s="7" t="n">
        <v>0.35</v>
      </c>
      <c r="R9" s="7" t="n">
        <f aca="false">ATAN(-TAN(0*3.1415/180)+(4*(1-Q9))/((1+Q9)*P9))*180/3.1415</f>
        <v>43.9203711372402</v>
      </c>
      <c r="S9" s="7" t="n">
        <f aca="false">ATAN(TAN(R9*3.1415/180)+(Q9-1)/((1+Q9)*P9))*180/3.1415</f>
        <v>35.8387099293526</v>
      </c>
      <c r="T9" s="7" t="n">
        <v>1.1</v>
      </c>
      <c r="U9" s="7" t="n">
        <v>0</v>
      </c>
      <c r="V9" s="7" t="n">
        <v>0</v>
      </c>
      <c r="W9" s="7" t="n">
        <v>0</v>
      </c>
      <c r="X9" s="7" t="n">
        <v>0</v>
      </c>
      <c r="Y9" s="7" t="n">
        <v>0</v>
      </c>
      <c r="Z9" s="7" t="n">
        <v>0</v>
      </c>
      <c r="AA9" s="7" t="n">
        <v>0</v>
      </c>
      <c r="AB9" s="7" t="n">
        <v>0</v>
      </c>
      <c r="AC9" s="7" t="n">
        <v>0</v>
      </c>
      <c r="AD9" s="7" t="n">
        <v>0</v>
      </c>
      <c r="AE9" s="7" t="n">
        <v>0</v>
      </c>
      <c r="AF9" s="7" t="n">
        <v>0</v>
      </c>
      <c r="AG9" s="7" t="n">
        <v>0</v>
      </c>
      <c r="AH9" s="7" t="n">
        <v>0</v>
      </c>
      <c r="AI9" s="7" t="n">
        <f aca="false">(2/3)*P9*N9*(1+Q9)*0.06</f>
        <v>59.4</v>
      </c>
      <c r="AJ9" s="7" t="n">
        <f aca="false">2*AI9</f>
        <v>118.8</v>
      </c>
      <c r="AK9" s="7" t="n">
        <v>1.8</v>
      </c>
      <c r="AL9" s="7" t="n">
        <v>0.4</v>
      </c>
      <c r="AM9" s="7" t="n">
        <v>20</v>
      </c>
      <c r="AN9" s="7" t="n">
        <f aca="false">(2/3)*((2*AI9)/((SQRT(AK9*AI9))*(1+AL9)))*(1+AL9+AL9^2)/(1+AL9)</f>
        <v>6.09627056367301</v>
      </c>
      <c r="AO9" s="7" t="n">
        <v>1.1</v>
      </c>
      <c r="AP9" s="7" t="n">
        <v>0</v>
      </c>
      <c r="AQ9" s="7" t="n">
        <v>0</v>
      </c>
      <c r="AR9" s="7" t="n">
        <v>0</v>
      </c>
      <c r="AS9" s="7" t="n">
        <v>0</v>
      </c>
      <c r="AT9" s="7" t="n">
        <v>0</v>
      </c>
      <c r="AU9" s="7" t="n">
        <v>0</v>
      </c>
      <c r="AV9" s="7" t="n">
        <v>0</v>
      </c>
    </row>
    <row r="10" customFormat="false" ht="13.8" hidden="false" customHeight="false" outlineLevel="0" collapsed="false">
      <c r="A10" s="7" t="s">
        <v>167</v>
      </c>
      <c r="B10" s="7" t="s">
        <v>159</v>
      </c>
      <c r="C10" s="7" t="n">
        <v>0</v>
      </c>
      <c r="D10" s="7" t="n">
        <v>0.75</v>
      </c>
      <c r="E10" s="7" t="n">
        <v>1</v>
      </c>
      <c r="F10" s="7" t="n">
        <f aca="false">2*N10/((1+Q10)*(P10*N10)^(1/2))</f>
        <v>23.4242789642102</v>
      </c>
      <c r="G10" s="7" t="n">
        <v>4</v>
      </c>
      <c r="H10" s="7" t="n">
        <f aca="false">F10/G10</f>
        <v>5.85606974105255</v>
      </c>
      <c r="I10" s="7" t="n">
        <v>14</v>
      </c>
      <c r="J10" s="7" t="n">
        <v>0</v>
      </c>
      <c r="K10" s="7" t="n">
        <f aca="false">G10*3.1415*F10/2</f>
        <v>147.174744732133</v>
      </c>
      <c r="L10" s="7" t="n">
        <v>1</v>
      </c>
      <c r="M10" s="7" t="n">
        <v>1</v>
      </c>
      <c r="N10" s="7" t="n">
        <v>500</v>
      </c>
      <c r="O10" s="7" t="n">
        <f aca="false">N10*2</f>
        <v>1000</v>
      </c>
      <c r="P10" s="7" t="n">
        <v>2</v>
      </c>
      <c r="Q10" s="7" t="n">
        <v>0.35</v>
      </c>
      <c r="R10" s="7" t="n">
        <f aca="false">ATAN(-TAN(0*3.1415/180)+(4*(1-Q10))/((1+Q10)*P10))*180/3.1415</f>
        <v>43.9203711372402</v>
      </c>
      <c r="S10" s="7" t="n">
        <f aca="false">ATAN(TAN(R10*3.1415/180)+(Q10-1)/((1+Q10)*P10))*180/3.1415</f>
        <v>35.8387099293526</v>
      </c>
      <c r="T10" s="7" t="n">
        <v>1.1</v>
      </c>
      <c r="U10" s="7" t="n">
        <v>0</v>
      </c>
      <c r="V10" s="7" t="n">
        <v>0</v>
      </c>
      <c r="W10" s="7" t="n">
        <v>0</v>
      </c>
      <c r="X10" s="7" t="n">
        <v>0</v>
      </c>
      <c r="Y10" s="7" t="n">
        <v>0</v>
      </c>
      <c r="Z10" s="7" t="n">
        <v>0</v>
      </c>
      <c r="AA10" s="7" t="n">
        <v>0</v>
      </c>
      <c r="AB10" s="7" t="n">
        <v>0</v>
      </c>
      <c r="AC10" s="7" t="n">
        <v>0</v>
      </c>
      <c r="AD10" s="7" t="n">
        <v>0</v>
      </c>
      <c r="AE10" s="7" t="n">
        <v>0</v>
      </c>
      <c r="AF10" s="7" t="n">
        <v>0</v>
      </c>
      <c r="AG10" s="7" t="n">
        <v>0</v>
      </c>
      <c r="AH10" s="7" t="n">
        <v>0</v>
      </c>
      <c r="AI10" s="7" t="n">
        <f aca="false">(2/3)*P10*N10*(1+Q10)*0.06</f>
        <v>54</v>
      </c>
      <c r="AJ10" s="7" t="n">
        <f aca="false">2*AI10</f>
        <v>108</v>
      </c>
      <c r="AK10" s="7" t="n">
        <v>1.8</v>
      </c>
      <c r="AL10" s="7" t="n">
        <v>0.4</v>
      </c>
      <c r="AM10" s="7" t="n">
        <v>20</v>
      </c>
      <c r="AN10" s="7" t="n">
        <f aca="false">(2/3)*((2*AI10)/((SQRT(AK10*AI10))*(1+AL10)))*(1+AL10+AL10^2)/(1+AL10)</f>
        <v>5.81256591638136</v>
      </c>
      <c r="AO10" s="7" t="n">
        <v>1.1</v>
      </c>
      <c r="AP10" s="7" t="n">
        <v>0</v>
      </c>
      <c r="AQ10" s="7" t="n">
        <v>0</v>
      </c>
      <c r="AR10" s="7" t="n">
        <v>0</v>
      </c>
      <c r="AS10" s="7" t="n">
        <v>0</v>
      </c>
      <c r="AT10" s="7" t="n">
        <v>0</v>
      </c>
      <c r="AU10" s="7" t="n">
        <v>0</v>
      </c>
      <c r="AV10" s="7" t="n">
        <v>0</v>
      </c>
    </row>
    <row r="11" customFormat="false" ht="13.8" hidden="false" customHeight="false" outlineLevel="0" collapsed="false">
      <c r="A11" s="7" t="s">
        <v>168</v>
      </c>
      <c r="B11" s="7" t="s">
        <v>159</v>
      </c>
      <c r="C11" s="7" t="n">
        <v>0</v>
      </c>
      <c r="D11" s="7" t="n">
        <v>0.75</v>
      </c>
      <c r="E11" s="7" t="n">
        <v>1</v>
      </c>
      <c r="F11" s="7" t="n">
        <f aca="false">2*N11/((1+Q11)*(P11*N11)^(1/2))</f>
        <v>22.2222222222222</v>
      </c>
      <c r="G11" s="7" t="n">
        <v>4</v>
      </c>
      <c r="H11" s="7" t="n">
        <f aca="false">F11/G11</f>
        <v>5.55555555555556</v>
      </c>
      <c r="I11" s="7" t="n">
        <v>14</v>
      </c>
      <c r="J11" s="7" t="n">
        <v>0</v>
      </c>
      <c r="K11" s="7" t="n">
        <f aca="false">G11*3.1415*F11/2</f>
        <v>139.622222222222</v>
      </c>
      <c r="L11" s="7" t="n">
        <v>1</v>
      </c>
      <c r="M11" s="7" t="n">
        <v>1</v>
      </c>
      <c r="N11" s="7" t="n">
        <v>450</v>
      </c>
      <c r="O11" s="7" t="n">
        <f aca="false">N11*2</f>
        <v>900</v>
      </c>
      <c r="P11" s="7" t="n">
        <v>2</v>
      </c>
      <c r="Q11" s="7" t="n">
        <v>0.35</v>
      </c>
      <c r="R11" s="7" t="n">
        <f aca="false">ATAN(-TAN(0*3.1415/180)+(4*(1-Q11))/((1+Q11)*P11))*180/3.1415</f>
        <v>43.9203711372402</v>
      </c>
      <c r="S11" s="7" t="n">
        <f aca="false">ATAN(TAN(R11*3.1415/180)+(Q11-1)/((1+Q11)*P11))*180/3.1415</f>
        <v>35.8387099293526</v>
      </c>
      <c r="T11" s="7" t="n">
        <v>1.1</v>
      </c>
      <c r="U11" s="7" t="n">
        <v>0</v>
      </c>
      <c r="V11" s="7" t="n">
        <v>0</v>
      </c>
      <c r="W11" s="7" t="n">
        <v>0</v>
      </c>
      <c r="X11" s="7" t="n">
        <v>0</v>
      </c>
      <c r="Y11" s="7" t="n">
        <v>0</v>
      </c>
      <c r="Z11" s="7" t="n">
        <v>0</v>
      </c>
      <c r="AA11" s="7" t="n">
        <v>0</v>
      </c>
      <c r="AB11" s="7" t="n">
        <v>0</v>
      </c>
      <c r="AC11" s="7" t="n">
        <v>0</v>
      </c>
      <c r="AD11" s="7" t="n">
        <v>0</v>
      </c>
      <c r="AE11" s="7" t="n">
        <v>0</v>
      </c>
      <c r="AF11" s="7" t="n">
        <v>0</v>
      </c>
      <c r="AG11" s="7" t="n">
        <v>0</v>
      </c>
      <c r="AH11" s="7" t="n">
        <v>0</v>
      </c>
      <c r="AI11" s="7" t="n">
        <f aca="false">(2/3)*P11*N11*(1+Q11)*0.06</f>
        <v>48.6</v>
      </c>
      <c r="AJ11" s="7" t="n">
        <f aca="false">2*AI11</f>
        <v>97.2</v>
      </c>
      <c r="AK11" s="7" t="n">
        <v>1.8</v>
      </c>
      <c r="AL11" s="7" t="n">
        <v>0.4</v>
      </c>
      <c r="AM11" s="7" t="n">
        <v>20</v>
      </c>
      <c r="AN11" s="7" t="n">
        <f aca="false">(2/3)*((2*AI11)/((SQRT(AK11*AI11))*(1+AL11)))*(1+AL11+AL11^2)/(1+AL11)</f>
        <v>5.51428420368867</v>
      </c>
      <c r="AO11" s="7" t="n">
        <v>1.1</v>
      </c>
      <c r="AP11" s="7" t="n">
        <v>0</v>
      </c>
      <c r="AQ11" s="7" t="n">
        <v>0</v>
      </c>
      <c r="AR11" s="7" t="n">
        <v>0</v>
      </c>
      <c r="AS11" s="7" t="n">
        <v>0</v>
      </c>
      <c r="AT11" s="7" t="n">
        <v>0</v>
      </c>
      <c r="AU11" s="7" t="n">
        <v>0</v>
      </c>
      <c r="AV11" s="7" t="n">
        <v>0</v>
      </c>
    </row>
    <row r="12" customFormat="false" ht="14.4" hidden="false" customHeight="false" outlineLevel="0" collapsed="false">
      <c r="B12" s="20"/>
    </row>
    <row r="13" customFormat="false" ht="14.4" hidden="false" customHeight="false" outlineLevel="0" collapsed="false">
      <c r="B13" s="20"/>
    </row>
    <row r="14" customFormat="false" ht="14.4" hidden="false" customHeight="false" outlineLevel="0" collapsed="false">
      <c r="B14" s="20"/>
    </row>
    <row r="15" s="21" customFormat="true" ht="14.4" hidden="false" customHeight="false" outlineLevel="0" collapsed="false"/>
    <row r="17" customFormat="false" ht="14.4" hidden="false" customHeight="false" outlineLevel="0" collapsed="false">
      <c r="B17" s="20"/>
    </row>
    <row r="18" customFormat="false" ht="14.4" hidden="false" customHeight="false" outlineLevel="0" collapsed="false">
      <c r="B18" s="20"/>
    </row>
    <row r="19" customFormat="false" ht="14.4" hidden="false" customHeight="false" outlineLevel="0" collapsed="false">
      <c r="B19" s="20"/>
    </row>
  </sheetData>
  <dataValidations count="1">
    <dataValidation allowBlank="true" operator="between" showDropDown="false" showErrorMessage="true" showInputMessage="true" sqref="B12:B14 B17:B19" type="list">
      <formula1>Lists!$B$2:$B$19</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B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4" activeCellId="0" sqref="D14"/>
    </sheetView>
  </sheetViews>
  <sheetFormatPr defaultRowHeight="14.4" zeroHeight="false" outlineLevelRow="0" outlineLevelCol="0"/>
  <cols>
    <col collapsed="false" customWidth="true" hidden="false" outlineLevel="0" max="1" min="1" style="22" width="21.22"/>
    <col collapsed="false" customWidth="true" hidden="false" outlineLevel="0" max="2" min="2" style="22" width="11.77"/>
    <col collapsed="false" customWidth="true" hidden="false" outlineLevel="0" max="42" min="3" style="22" width="8.78"/>
    <col collapsed="false" customWidth="true" hidden="false" outlineLevel="0" max="43" min="43" style="22" width="11.77"/>
    <col collapsed="false" customWidth="true" hidden="false" outlineLevel="0" max="44" min="44" style="22" width="8.78"/>
    <col collapsed="false" customWidth="true" hidden="false" outlineLevel="0" max="45" min="45" style="22" width="9.78"/>
    <col collapsed="false" customWidth="true" hidden="false" outlineLevel="0" max="46" min="46" style="22" width="11.77"/>
    <col collapsed="false" customWidth="true" hidden="false" outlineLevel="0" max="47" min="47" style="22" width="8.78"/>
    <col collapsed="false" customWidth="true" hidden="false" outlineLevel="0" max="49" min="48" style="22" width="10.33"/>
    <col collapsed="false" customWidth="true" hidden="false" outlineLevel="0" max="50" min="50" style="22" width="8.78"/>
    <col collapsed="false" customWidth="true" hidden="false" outlineLevel="0" max="51" min="51" style="22" width="10.33"/>
    <col collapsed="false" customWidth="true" hidden="false" outlineLevel="0" max="52" min="52" style="22" width="11.77"/>
    <col collapsed="false" customWidth="true" hidden="false" outlineLevel="0" max="1025" min="53" style="22" width="8.78"/>
  </cols>
  <sheetData>
    <row r="1" customFormat="false" ht="14.4" hidden="false" customHeight="false" outlineLevel="0" collapsed="false">
      <c r="A1" s="23" t="s">
        <v>56</v>
      </c>
      <c r="B1" s="23" t="s">
        <v>58</v>
      </c>
      <c r="C1" s="23" t="s">
        <v>60</v>
      </c>
      <c r="D1" s="23" t="s">
        <v>62</v>
      </c>
      <c r="E1" s="23" t="s">
        <v>169</v>
      </c>
      <c r="F1" s="23" t="s">
        <v>170</v>
      </c>
      <c r="G1" s="23" t="s">
        <v>171</v>
      </c>
      <c r="H1" s="23" t="s">
        <v>172</v>
      </c>
      <c r="I1" s="23" t="s">
        <v>173</v>
      </c>
      <c r="J1" s="23" t="s">
        <v>174</v>
      </c>
      <c r="K1" s="23" t="s">
        <v>175</v>
      </c>
      <c r="L1" s="23" t="s">
        <v>176</v>
      </c>
      <c r="M1" s="23" t="s">
        <v>177</v>
      </c>
      <c r="N1" s="23" t="s">
        <v>178</v>
      </c>
      <c r="O1" s="23" t="s">
        <v>179</v>
      </c>
      <c r="P1" s="23" t="s">
        <v>180</v>
      </c>
      <c r="Q1" s="23" t="s">
        <v>181</v>
      </c>
      <c r="R1" s="23" t="s">
        <v>182</v>
      </c>
      <c r="S1" s="23" t="s">
        <v>183</v>
      </c>
      <c r="T1" s="23" t="s">
        <v>184</v>
      </c>
      <c r="U1" s="23" t="s">
        <v>185</v>
      </c>
      <c r="V1" s="23" t="s">
        <v>186</v>
      </c>
      <c r="W1" s="23" t="s">
        <v>66</v>
      </c>
      <c r="X1" s="23" t="s">
        <v>187</v>
      </c>
      <c r="Y1" s="23" t="s">
        <v>188</v>
      </c>
      <c r="Z1" s="23" t="s">
        <v>189</v>
      </c>
      <c r="AA1" s="23" t="s">
        <v>190</v>
      </c>
      <c r="AB1" s="23" t="s">
        <v>191</v>
      </c>
      <c r="AC1" s="23" t="s">
        <v>192</v>
      </c>
      <c r="AD1" s="23" t="s">
        <v>193</v>
      </c>
      <c r="AE1" s="23" t="s">
        <v>194</v>
      </c>
      <c r="AF1" s="23" t="s">
        <v>195</v>
      </c>
      <c r="AG1" s="23" t="s">
        <v>196</v>
      </c>
      <c r="AH1" s="23" t="s">
        <v>197</v>
      </c>
      <c r="AI1" s="23" t="s">
        <v>198</v>
      </c>
      <c r="AJ1" s="23" t="s">
        <v>199</v>
      </c>
      <c r="AK1" s="23" t="s">
        <v>200</v>
      </c>
      <c r="AL1" s="23" t="s">
        <v>201</v>
      </c>
      <c r="AM1" s="23" t="s">
        <v>202</v>
      </c>
      <c r="AN1" s="23" t="s">
        <v>203</v>
      </c>
      <c r="AO1" s="23" t="s">
        <v>204</v>
      </c>
      <c r="AP1" s="23" t="s">
        <v>70</v>
      </c>
      <c r="AQ1" s="23" t="s">
        <v>72</v>
      </c>
      <c r="AR1" s="23" t="s">
        <v>74</v>
      </c>
      <c r="AS1" s="23" t="s">
        <v>76</v>
      </c>
      <c r="AT1" s="23" t="s">
        <v>78</v>
      </c>
      <c r="AU1" s="23" t="s">
        <v>80</v>
      </c>
      <c r="AV1" s="23" t="s">
        <v>82</v>
      </c>
      <c r="AW1" s="23" t="s">
        <v>84</v>
      </c>
      <c r="AX1" s="23" t="s">
        <v>86</v>
      </c>
      <c r="AY1" s="23" t="s">
        <v>88</v>
      </c>
      <c r="AZ1" s="23" t="s">
        <v>90</v>
      </c>
      <c r="BA1" s="23" t="s">
        <v>92</v>
      </c>
      <c r="BB1" s="23" t="s">
        <v>94</v>
      </c>
    </row>
    <row r="2" customFormat="false" ht="14.4" hidden="false" customHeight="false" outlineLevel="0" collapsed="false">
      <c r="A2" s="22" t="str">
        <f aca="false">Main_Input!A2</f>
        <v>JetSubmersible_FW1.1</v>
      </c>
      <c r="B2" s="22" t="s">
        <v>205</v>
      </c>
      <c r="C2" s="22" t="n">
        <v>0.12</v>
      </c>
      <c r="D2" s="22" t="n">
        <v>0.3</v>
      </c>
      <c r="E2" s="22" t="n">
        <v>-0.4201</v>
      </c>
      <c r="F2" s="22" t="n">
        <v>-0.3163</v>
      </c>
      <c r="G2" s="22" t="n">
        <v>-0.2082</v>
      </c>
      <c r="H2" s="22" t="n">
        <v>-0.099</v>
      </c>
      <c r="I2" s="22" t="n">
        <v>0.0103</v>
      </c>
      <c r="J2" s="22" t="n">
        <v>0.0984</v>
      </c>
      <c r="K2" s="22" t="n">
        <v>0.2044</v>
      </c>
      <c r="L2" s="22" t="n">
        <v>0.3148</v>
      </c>
      <c r="M2" s="22" t="n">
        <v>0.4474</v>
      </c>
      <c r="N2" s="22" t="n">
        <v>0.5846</v>
      </c>
      <c r="O2" s="22" t="n">
        <v>0.7204</v>
      </c>
      <c r="P2" s="22" t="n">
        <v>0.8557</v>
      </c>
      <c r="Q2" s="22" t="n">
        <v>0.9726</v>
      </c>
      <c r="R2" s="22" t="n">
        <v>1.0646</v>
      </c>
      <c r="S2" s="22" t="n">
        <v>1.1528</v>
      </c>
      <c r="T2" s="22" t="n">
        <v>1.235</v>
      </c>
      <c r="U2" s="22" t="n">
        <v>1.3119</v>
      </c>
      <c r="V2" s="22" t="n">
        <v>1.3852</v>
      </c>
      <c r="W2" s="22" t="n">
        <v>1.5014</v>
      </c>
      <c r="X2" s="22" t="n">
        <v>0.0101</v>
      </c>
      <c r="Y2" s="22" t="n">
        <v>0.00944</v>
      </c>
      <c r="Z2" s="22" t="n">
        <v>0.00913</v>
      </c>
      <c r="AA2" s="22" t="n">
        <v>0.00886</v>
      </c>
      <c r="AB2" s="22" t="n">
        <v>0.00854</v>
      </c>
      <c r="AC2" s="22" t="n">
        <v>0.00623</v>
      </c>
      <c r="AD2" s="22" t="n">
        <v>0.00636</v>
      </c>
      <c r="AE2" s="22" t="n">
        <v>0.00683</v>
      </c>
      <c r="AF2" s="22" t="n">
        <v>0.00733</v>
      </c>
      <c r="AG2" s="22" t="n">
        <v>0.00782</v>
      </c>
      <c r="AH2" s="22" t="n">
        <v>0.00826</v>
      </c>
      <c r="AI2" s="22" t="n">
        <v>0.00878</v>
      </c>
      <c r="AJ2" s="22" t="n">
        <v>0.00938</v>
      </c>
      <c r="AK2" s="22" t="n">
        <v>0.01013</v>
      </c>
      <c r="AL2" s="22" t="n">
        <v>0.01115</v>
      </c>
      <c r="AM2" s="22" t="n">
        <v>0.01269</v>
      </c>
      <c r="AN2" s="22" t="n">
        <v>0.01476</v>
      </c>
      <c r="AO2" s="22" t="n">
        <v>0.01725</v>
      </c>
      <c r="AP2" s="22" t="n">
        <v>0.00619</v>
      </c>
      <c r="AQ2" s="22" t="s">
        <v>206</v>
      </c>
      <c r="AR2" s="22" t="n">
        <v>0.04</v>
      </c>
      <c r="AS2" s="22" t="n">
        <v>0.3</v>
      </c>
      <c r="AT2" s="22" t="n">
        <v>0</v>
      </c>
      <c r="AU2" s="22" t="n">
        <v>0</v>
      </c>
      <c r="AV2" s="22" t="n">
        <v>0</v>
      </c>
      <c r="AW2" s="22" t="s">
        <v>206</v>
      </c>
      <c r="AX2" s="22" t="n">
        <v>0.04</v>
      </c>
      <c r="AY2" s="22" t="n">
        <v>0.3</v>
      </c>
      <c r="AZ2" s="22" t="n">
        <v>0</v>
      </c>
      <c r="BA2" s="22" t="n">
        <v>0</v>
      </c>
      <c r="BB2" s="22" t="n">
        <v>0</v>
      </c>
    </row>
    <row r="3" customFormat="false" ht="14.4" hidden="false" customHeight="false" outlineLevel="0" collapsed="false">
      <c r="A3" s="22" t="str">
        <f aca="false">Main_Input!A3</f>
        <v>JetSubmersible_FW1.2</v>
      </c>
      <c r="B3" s="22" t="s">
        <v>205</v>
      </c>
      <c r="C3" s="22" t="n">
        <v>0.12</v>
      </c>
      <c r="D3" s="22" t="n">
        <v>0.3</v>
      </c>
      <c r="E3" s="22" t="n">
        <v>-0.4201</v>
      </c>
      <c r="F3" s="22" t="n">
        <v>-0.3163</v>
      </c>
      <c r="G3" s="22" t="n">
        <v>-0.2082</v>
      </c>
      <c r="H3" s="22" t="n">
        <v>-0.099</v>
      </c>
      <c r="I3" s="22" t="n">
        <v>0.0103</v>
      </c>
      <c r="J3" s="22" t="n">
        <v>0.0984</v>
      </c>
      <c r="K3" s="22" t="n">
        <v>0.2044</v>
      </c>
      <c r="L3" s="22" t="n">
        <v>0.3148</v>
      </c>
      <c r="M3" s="22" t="n">
        <v>0.4474</v>
      </c>
      <c r="N3" s="22" t="n">
        <v>0.5846</v>
      </c>
      <c r="O3" s="22" t="n">
        <v>0.7204</v>
      </c>
      <c r="P3" s="22" t="n">
        <v>0.8557</v>
      </c>
      <c r="Q3" s="22" t="n">
        <v>0.9726</v>
      </c>
      <c r="R3" s="22" t="n">
        <v>1.0646</v>
      </c>
      <c r="S3" s="22" t="n">
        <v>1.1528</v>
      </c>
      <c r="T3" s="22" t="n">
        <v>1.235</v>
      </c>
      <c r="U3" s="22" t="n">
        <v>1.3119</v>
      </c>
      <c r="V3" s="22" t="n">
        <v>1.3852</v>
      </c>
      <c r="W3" s="22" t="n">
        <v>1.5014</v>
      </c>
      <c r="X3" s="22" t="n">
        <v>0.0101</v>
      </c>
      <c r="Y3" s="22" t="n">
        <v>0.00944</v>
      </c>
      <c r="Z3" s="22" t="n">
        <v>0.00913</v>
      </c>
      <c r="AA3" s="22" t="n">
        <v>0.00886</v>
      </c>
      <c r="AB3" s="22" t="n">
        <v>0.00854</v>
      </c>
      <c r="AC3" s="22" t="n">
        <v>0.00623</v>
      </c>
      <c r="AD3" s="22" t="n">
        <v>0.00636</v>
      </c>
      <c r="AE3" s="22" t="n">
        <v>0.00683</v>
      </c>
      <c r="AF3" s="22" t="n">
        <v>0.00733</v>
      </c>
      <c r="AG3" s="22" t="n">
        <v>0.00782</v>
      </c>
      <c r="AH3" s="22" t="n">
        <v>0.00826</v>
      </c>
      <c r="AI3" s="22" t="n">
        <v>0.00878</v>
      </c>
      <c r="AJ3" s="22" t="n">
        <v>0.00938</v>
      </c>
      <c r="AK3" s="22" t="n">
        <v>0.01013</v>
      </c>
      <c r="AL3" s="22" t="n">
        <v>0.01115</v>
      </c>
      <c r="AM3" s="22" t="n">
        <v>0.01269</v>
      </c>
      <c r="AN3" s="22" t="n">
        <v>0.01476</v>
      </c>
      <c r="AO3" s="22" t="n">
        <v>0.01725</v>
      </c>
      <c r="AP3" s="22" t="n">
        <v>0.00619</v>
      </c>
      <c r="AQ3" s="22" t="s">
        <v>206</v>
      </c>
      <c r="AR3" s="22" t="n">
        <v>0.04</v>
      </c>
      <c r="AS3" s="22" t="n">
        <v>0.3</v>
      </c>
      <c r="AT3" s="22" t="n">
        <v>0</v>
      </c>
      <c r="AU3" s="22" t="n">
        <v>0</v>
      </c>
      <c r="AV3" s="22" t="n">
        <v>0</v>
      </c>
      <c r="AW3" s="22" t="s">
        <v>206</v>
      </c>
      <c r="AX3" s="22" t="n">
        <v>0.04</v>
      </c>
      <c r="AY3" s="22" t="n">
        <v>0.3</v>
      </c>
      <c r="AZ3" s="22" t="n">
        <v>0</v>
      </c>
      <c r="BA3" s="22" t="n">
        <v>0</v>
      </c>
      <c r="BB3" s="22" t="n">
        <v>0</v>
      </c>
    </row>
    <row r="4" customFormat="false" ht="14.4" hidden="false" customHeight="false" outlineLevel="0" collapsed="false">
      <c r="A4" s="22" t="str">
        <f aca="false">Main_Input!A4</f>
        <v>JetSubmersible_FW1.3</v>
      </c>
      <c r="B4" s="22" t="s">
        <v>205</v>
      </c>
      <c r="C4" s="22" t="n">
        <v>0.12</v>
      </c>
      <c r="D4" s="22" t="n">
        <v>0.3</v>
      </c>
      <c r="E4" s="22" t="n">
        <v>-0.4201</v>
      </c>
      <c r="F4" s="22" t="n">
        <v>-0.3163</v>
      </c>
      <c r="G4" s="22" t="n">
        <v>-0.2082</v>
      </c>
      <c r="H4" s="22" t="n">
        <v>-0.099</v>
      </c>
      <c r="I4" s="22" t="n">
        <v>0.0103</v>
      </c>
      <c r="J4" s="22" t="n">
        <v>0.0984</v>
      </c>
      <c r="K4" s="22" t="n">
        <v>0.2044</v>
      </c>
      <c r="L4" s="22" t="n">
        <v>0.3148</v>
      </c>
      <c r="M4" s="22" t="n">
        <v>0.4474</v>
      </c>
      <c r="N4" s="22" t="n">
        <v>0.5846</v>
      </c>
      <c r="O4" s="22" t="n">
        <v>0.7204</v>
      </c>
      <c r="P4" s="22" t="n">
        <v>0.8557</v>
      </c>
      <c r="Q4" s="22" t="n">
        <v>0.9726</v>
      </c>
      <c r="R4" s="22" t="n">
        <v>1.0646</v>
      </c>
      <c r="S4" s="22" t="n">
        <v>1.1528</v>
      </c>
      <c r="T4" s="22" t="n">
        <v>1.235</v>
      </c>
      <c r="U4" s="22" t="n">
        <v>1.3119</v>
      </c>
      <c r="V4" s="22" t="n">
        <v>1.3852</v>
      </c>
      <c r="W4" s="22" t="n">
        <v>1.5014</v>
      </c>
      <c r="X4" s="22" t="n">
        <v>0.0101</v>
      </c>
      <c r="Y4" s="22" t="n">
        <v>0.00944</v>
      </c>
      <c r="Z4" s="22" t="n">
        <v>0.00913</v>
      </c>
      <c r="AA4" s="22" t="n">
        <v>0.00886</v>
      </c>
      <c r="AB4" s="22" t="n">
        <v>0.00854</v>
      </c>
      <c r="AC4" s="22" t="n">
        <v>0.00623</v>
      </c>
      <c r="AD4" s="22" t="n">
        <v>0.00636</v>
      </c>
      <c r="AE4" s="22" t="n">
        <v>0.00683</v>
      </c>
      <c r="AF4" s="22" t="n">
        <v>0.00733</v>
      </c>
      <c r="AG4" s="22" t="n">
        <v>0.00782</v>
      </c>
      <c r="AH4" s="22" t="n">
        <v>0.00826</v>
      </c>
      <c r="AI4" s="22" t="n">
        <v>0.00878</v>
      </c>
      <c r="AJ4" s="22" t="n">
        <v>0.00938</v>
      </c>
      <c r="AK4" s="22" t="n">
        <v>0.01013</v>
      </c>
      <c r="AL4" s="22" t="n">
        <v>0.01115</v>
      </c>
      <c r="AM4" s="22" t="n">
        <v>0.01269</v>
      </c>
      <c r="AN4" s="22" t="n">
        <v>0.01476</v>
      </c>
      <c r="AO4" s="22" t="n">
        <v>0.01725</v>
      </c>
      <c r="AP4" s="22" t="n">
        <v>0.00619</v>
      </c>
      <c r="AQ4" s="22" t="s">
        <v>206</v>
      </c>
      <c r="AR4" s="22" t="n">
        <v>0.04</v>
      </c>
      <c r="AS4" s="22" t="n">
        <v>0.3</v>
      </c>
      <c r="AT4" s="22" t="n">
        <v>0</v>
      </c>
      <c r="AU4" s="22" t="n">
        <v>0</v>
      </c>
      <c r="AV4" s="22" t="n">
        <v>0</v>
      </c>
      <c r="AW4" s="22" t="s">
        <v>206</v>
      </c>
      <c r="AX4" s="22" t="n">
        <v>0.04</v>
      </c>
      <c r="AY4" s="22" t="n">
        <v>0.3</v>
      </c>
      <c r="AZ4" s="22" t="n">
        <v>0</v>
      </c>
      <c r="BA4" s="22" t="n">
        <v>0</v>
      </c>
      <c r="BB4" s="22" t="n">
        <v>0</v>
      </c>
    </row>
    <row r="5" customFormat="false" ht="14.4" hidden="false" customHeight="false" outlineLevel="0" collapsed="false">
      <c r="A5" s="22" t="str">
        <f aca="false">Main_Input!A5</f>
        <v>JetSubmersible_FW1.4</v>
      </c>
      <c r="B5" s="22" t="s">
        <v>205</v>
      </c>
      <c r="C5" s="22" t="n">
        <v>0.12</v>
      </c>
      <c r="D5" s="22" t="n">
        <v>0.3</v>
      </c>
      <c r="E5" s="22" t="n">
        <v>-0.4201</v>
      </c>
      <c r="F5" s="22" t="n">
        <v>-0.3163</v>
      </c>
      <c r="G5" s="22" t="n">
        <v>-0.2082</v>
      </c>
      <c r="H5" s="22" t="n">
        <v>-0.099</v>
      </c>
      <c r="I5" s="22" t="n">
        <v>0.0103</v>
      </c>
      <c r="J5" s="22" t="n">
        <v>0.0984</v>
      </c>
      <c r="K5" s="22" t="n">
        <v>0.2044</v>
      </c>
      <c r="L5" s="22" t="n">
        <v>0.3148</v>
      </c>
      <c r="M5" s="22" t="n">
        <v>0.4474</v>
      </c>
      <c r="N5" s="22" t="n">
        <v>0.5846</v>
      </c>
      <c r="O5" s="22" t="n">
        <v>0.7204</v>
      </c>
      <c r="P5" s="22" t="n">
        <v>0.8557</v>
      </c>
      <c r="Q5" s="22" t="n">
        <v>0.9726</v>
      </c>
      <c r="R5" s="22" t="n">
        <v>1.0646</v>
      </c>
      <c r="S5" s="22" t="n">
        <v>1.1528</v>
      </c>
      <c r="T5" s="22" t="n">
        <v>1.235</v>
      </c>
      <c r="U5" s="22" t="n">
        <v>1.3119</v>
      </c>
      <c r="V5" s="22" t="n">
        <v>1.3852</v>
      </c>
      <c r="W5" s="22" t="n">
        <v>1.5014</v>
      </c>
      <c r="X5" s="22" t="n">
        <v>0.0101</v>
      </c>
      <c r="Y5" s="22" t="n">
        <v>0.00944</v>
      </c>
      <c r="Z5" s="22" t="n">
        <v>0.00913</v>
      </c>
      <c r="AA5" s="22" t="n">
        <v>0.00886</v>
      </c>
      <c r="AB5" s="22" t="n">
        <v>0.00854</v>
      </c>
      <c r="AC5" s="22" t="n">
        <v>0.00623</v>
      </c>
      <c r="AD5" s="22" t="n">
        <v>0.00636</v>
      </c>
      <c r="AE5" s="22" t="n">
        <v>0.00683</v>
      </c>
      <c r="AF5" s="22" t="n">
        <v>0.00733</v>
      </c>
      <c r="AG5" s="22" t="n">
        <v>0.00782</v>
      </c>
      <c r="AH5" s="22" t="n">
        <v>0.00826</v>
      </c>
      <c r="AI5" s="22" t="n">
        <v>0.00878</v>
      </c>
      <c r="AJ5" s="22" t="n">
        <v>0.00938</v>
      </c>
      <c r="AK5" s="22" t="n">
        <v>0.01013</v>
      </c>
      <c r="AL5" s="22" t="n">
        <v>0.01115</v>
      </c>
      <c r="AM5" s="22" t="n">
        <v>0.01269</v>
      </c>
      <c r="AN5" s="22" t="n">
        <v>0.01476</v>
      </c>
      <c r="AO5" s="22" t="n">
        <v>0.01725</v>
      </c>
      <c r="AP5" s="22" t="n">
        <v>0.00619</v>
      </c>
      <c r="AQ5" s="22" t="s">
        <v>206</v>
      </c>
      <c r="AR5" s="22" t="n">
        <v>0.04</v>
      </c>
      <c r="AS5" s="22" t="n">
        <v>0.3</v>
      </c>
      <c r="AT5" s="22" t="n">
        <v>0</v>
      </c>
      <c r="AU5" s="22" t="n">
        <v>0</v>
      </c>
      <c r="AV5" s="22" t="n">
        <v>0</v>
      </c>
      <c r="AW5" s="22" t="s">
        <v>206</v>
      </c>
      <c r="AX5" s="22" t="n">
        <v>0.04</v>
      </c>
      <c r="AY5" s="22" t="n">
        <v>0.3</v>
      </c>
      <c r="AZ5" s="22" t="n">
        <v>0</v>
      </c>
      <c r="BA5" s="22" t="n">
        <v>0</v>
      </c>
      <c r="BB5" s="22" t="n">
        <v>0</v>
      </c>
    </row>
    <row r="6" customFormat="false" ht="14.4" hidden="false" customHeight="false" outlineLevel="0" collapsed="false">
      <c r="A6" s="22" t="str">
        <f aca="false">Main_Input!A6</f>
        <v>JetSubmersible_FW1.5</v>
      </c>
      <c r="B6" s="22" t="s">
        <v>205</v>
      </c>
      <c r="C6" s="22" t="n">
        <v>0.12</v>
      </c>
      <c r="D6" s="22" t="n">
        <v>0.3</v>
      </c>
      <c r="E6" s="22" t="n">
        <v>-0.4201</v>
      </c>
      <c r="F6" s="22" t="n">
        <v>-0.3163</v>
      </c>
      <c r="G6" s="22" t="n">
        <v>-0.2082</v>
      </c>
      <c r="H6" s="22" t="n">
        <v>-0.099</v>
      </c>
      <c r="I6" s="22" t="n">
        <v>0.0103</v>
      </c>
      <c r="J6" s="22" t="n">
        <v>0.0984</v>
      </c>
      <c r="K6" s="22" t="n">
        <v>0.2044</v>
      </c>
      <c r="L6" s="22" t="n">
        <v>0.3148</v>
      </c>
      <c r="M6" s="22" t="n">
        <v>0.4474</v>
      </c>
      <c r="N6" s="22" t="n">
        <v>0.5846</v>
      </c>
      <c r="O6" s="22" t="n">
        <v>0.7204</v>
      </c>
      <c r="P6" s="22" t="n">
        <v>0.8557</v>
      </c>
      <c r="Q6" s="22" t="n">
        <v>0.9726</v>
      </c>
      <c r="R6" s="22" t="n">
        <v>1.0646</v>
      </c>
      <c r="S6" s="22" t="n">
        <v>1.1528</v>
      </c>
      <c r="T6" s="22" t="n">
        <v>1.235</v>
      </c>
      <c r="U6" s="22" t="n">
        <v>1.3119</v>
      </c>
      <c r="V6" s="22" t="n">
        <v>1.3852</v>
      </c>
      <c r="W6" s="22" t="n">
        <v>1.5014</v>
      </c>
      <c r="X6" s="22" t="n">
        <v>0.0101</v>
      </c>
      <c r="Y6" s="22" t="n">
        <v>0.00944</v>
      </c>
      <c r="Z6" s="22" t="n">
        <v>0.00913</v>
      </c>
      <c r="AA6" s="22" t="n">
        <v>0.00886</v>
      </c>
      <c r="AB6" s="22" t="n">
        <v>0.00854</v>
      </c>
      <c r="AC6" s="22" t="n">
        <v>0.00623</v>
      </c>
      <c r="AD6" s="22" t="n">
        <v>0.00636</v>
      </c>
      <c r="AE6" s="22" t="n">
        <v>0.00683</v>
      </c>
      <c r="AF6" s="22" t="n">
        <v>0.00733</v>
      </c>
      <c r="AG6" s="22" t="n">
        <v>0.00782</v>
      </c>
      <c r="AH6" s="22" t="n">
        <v>0.00826</v>
      </c>
      <c r="AI6" s="22" t="n">
        <v>0.00878</v>
      </c>
      <c r="AJ6" s="22" t="n">
        <v>0.00938</v>
      </c>
      <c r="AK6" s="22" t="n">
        <v>0.01013</v>
      </c>
      <c r="AL6" s="22" t="n">
        <v>0.01115</v>
      </c>
      <c r="AM6" s="22" t="n">
        <v>0.01269</v>
      </c>
      <c r="AN6" s="22" t="n">
        <v>0.01476</v>
      </c>
      <c r="AO6" s="22" t="n">
        <v>0.01725</v>
      </c>
      <c r="AP6" s="22" t="n">
        <v>0.00619</v>
      </c>
      <c r="AQ6" s="22" t="s">
        <v>206</v>
      </c>
      <c r="AR6" s="22" t="n">
        <v>0.04</v>
      </c>
      <c r="AS6" s="22" t="n">
        <v>0.3</v>
      </c>
      <c r="AT6" s="22" t="n">
        <v>0</v>
      </c>
      <c r="AU6" s="22" t="n">
        <v>0</v>
      </c>
      <c r="AV6" s="22" t="n">
        <v>0</v>
      </c>
      <c r="AW6" s="22" t="s">
        <v>206</v>
      </c>
      <c r="AX6" s="22" t="n">
        <v>0.04</v>
      </c>
      <c r="AY6" s="22" t="n">
        <v>0.3</v>
      </c>
      <c r="AZ6" s="22" t="n">
        <v>0</v>
      </c>
      <c r="BA6" s="22" t="n">
        <v>0</v>
      </c>
      <c r="BB6" s="22" t="n">
        <v>0</v>
      </c>
    </row>
    <row r="7" customFormat="false" ht="14.4" hidden="false" customHeight="false" outlineLevel="0" collapsed="false">
      <c r="A7" s="22" t="str">
        <f aca="false">Main_Input!A7</f>
        <v>JetSubmersible_FW2.1</v>
      </c>
      <c r="B7" s="22" t="s">
        <v>205</v>
      </c>
      <c r="C7" s="22" t="n">
        <v>0.12</v>
      </c>
      <c r="D7" s="22" t="n">
        <v>0.3</v>
      </c>
      <c r="E7" s="22" t="n">
        <v>-0.4201</v>
      </c>
      <c r="F7" s="22" t="n">
        <v>-0.3163</v>
      </c>
      <c r="G7" s="22" t="n">
        <v>-0.2082</v>
      </c>
      <c r="H7" s="22" t="n">
        <v>-0.099</v>
      </c>
      <c r="I7" s="22" t="n">
        <v>0.0103</v>
      </c>
      <c r="J7" s="22" t="n">
        <v>0.0984</v>
      </c>
      <c r="K7" s="22" t="n">
        <v>0.2044</v>
      </c>
      <c r="L7" s="22" t="n">
        <v>0.3148</v>
      </c>
      <c r="M7" s="22" t="n">
        <v>0.4474</v>
      </c>
      <c r="N7" s="22" t="n">
        <v>0.5846</v>
      </c>
      <c r="O7" s="22" t="n">
        <v>0.7204</v>
      </c>
      <c r="P7" s="22" t="n">
        <v>0.8557</v>
      </c>
      <c r="Q7" s="22" t="n">
        <v>0.9726</v>
      </c>
      <c r="R7" s="22" t="n">
        <v>1.0646</v>
      </c>
      <c r="S7" s="22" t="n">
        <v>1.1528</v>
      </c>
      <c r="T7" s="22" t="n">
        <v>1.235</v>
      </c>
      <c r="U7" s="22" t="n">
        <v>1.3119</v>
      </c>
      <c r="V7" s="22" t="n">
        <v>1.3852</v>
      </c>
      <c r="W7" s="22" t="n">
        <v>1.5014</v>
      </c>
      <c r="X7" s="22" t="n">
        <v>0.0101</v>
      </c>
      <c r="Y7" s="22" t="n">
        <v>0.00944</v>
      </c>
      <c r="Z7" s="22" t="n">
        <v>0.00913</v>
      </c>
      <c r="AA7" s="22" t="n">
        <v>0.00886</v>
      </c>
      <c r="AB7" s="22" t="n">
        <v>0.00854</v>
      </c>
      <c r="AC7" s="22" t="n">
        <v>0.00623</v>
      </c>
      <c r="AD7" s="22" t="n">
        <v>0.00636</v>
      </c>
      <c r="AE7" s="22" t="n">
        <v>0.00683</v>
      </c>
      <c r="AF7" s="22" t="n">
        <v>0.00733</v>
      </c>
      <c r="AG7" s="22" t="n">
        <v>0.00782</v>
      </c>
      <c r="AH7" s="22" t="n">
        <v>0.00826</v>
      </c>
      <c r="AI7" s="22" t="n">
        <v>0.00878</v>
      </c>
      <c r="AJ7" s="22" t="n">
        <v>0.00938</v>
      </c>
      <c r="AK7" s="22" t="n">
        <v>0.01013</v>
      </c>
      <c r="AL7" s="22" t="n">
        <v>0.01115</v>
      </c>
      <c r="AM7" s="22" t="n">
        <v>0.01269</v>
      </c>
      <c r="AN7" s="22" t="n">
        <v>0.01476</v>
      </c>
      <c r="AO7" s="22" t="n">
        <v>0.01725</v>
      </c>
      <c r="AP7" s="22" t="n">
        <v>0.00619</v>
      </c>
      <c r="AQ7" s="22" t="s">
        <v>206</v>
      </c>
      <c r="AR7" s="22" t="n">
        <v>0.04</v>
      </c>
      <c r="AS7" s="22" t="n">
        <v>0.3</v>
      </c>
      <c r="AT7" s="22" t="n">
        <v>0</v>
      </c>
      <c r="AU7" s="22" t="n">
        <v>0</v>
      </c>
      <c r="AV7" s="22" t="n">
        <v>0</v>
      </c>
      <c r="AW7" s="22" t="s">
        <v>206</v>
      </c>
      <c r="AX7" s="22" t="n">
        <v>0.04</v>
      </c>
      <c r="AY7" s="22" t="n">
        <v>0.3</v>
      </c>
      <c r="AZ7" s="22" t="n">
        <v>0</v>
      </c>
      <c r="BA7" s="22" t="n">
        <v>0</v>
      </c>
      <c r="BB7" s="22" t="n">
        <v>0</v>
      </c>
    </row>
    <row r="8" customFormat="false" ht="14.4" hidden="false" customHeight="false" outlineLevel="0" collapsed="false">
      <c r="A8" s="22" t="str">
        <f aca="false">Main_Input!A8</f>
        <v>JetSubmersible_FW2.2</v>
      </c>
      <c r="B8" s="22" t="s">
        <v>205</v>
      </c>
      <c r="C8" s="22" t="n">
        <v>0.12</v>
      </c>
      <c r="D8" s="22" t="n">
        <v>0.3</v>
      </c>
      <c r="E8" s="22" t="n">
        <v>-0.4201</v>
      </c>
      <c r="F8" s="22" t="n">
        <v>-0.3163</v>
      </c>
      <c r="G8" s="22" t="n">
        <v>-0.2082</v>
      </c>
      <c r="H8" s="22" t="n">
        <v>-0.099</v>
      </c>
      <c r="I8" s="22" t="n">
        <v>0.0103</v>
      </c>
      <c r="J8" s="22" t="n">
        <v>0.0984</v>
      </c>
      <c r="K8" s="22" t="n">
        <v>0.2044</v>
      </c>
      <c r="L8" s="22" t="n">
        <v>0.3148</v>
      </c>
      <c r="M8" s="22" t="n">
        <v>0.4474</v>
      </c>
      <c r="N8" s="22" t="n">
        <v>0.5846</v>
      </c>
      <c r="O8" s="22" t="n">
        <v>0.7204</v>
      </c>
      <c r="P8" s="22" t="n">
        <v>0.8557</v>
      </c>
      <c r="Q8" s="22" t="n">
        <v>0.9726</v>
      </c>
      <c r="R8" s="22" t="n">
        <v>1.0646</v>
      </c>
      <c r="S8" s="22" t="n">
        <v>1.1528</v>
      </c>
      <c r="T8" s="22" t="n">
        <v>1.235</v>
      </c>
      <c r="U8" s="22" t="n">
        <v>1.3119</v>
      </c>
      <c r="V8" s="22" t="n">
        <v>1.3852</v>
      </c>
      <c r="W8" s="22" t="n">
        <v>1.5014</v>
      </c>
      <c r="X8" s="22" t="n">
        <v>0.0101</v>
      </c>
      <c r="Y8" s="22" t="n">
        <v>0.00944</v>
      </c>
      <c r="Z8" s="22" t="n">
        <v>0.00913</v>
      </c>
      <c r="AA8" s="22" t="n">
        <v>0.00886</v>
      </c>
      <c r="AB8" s="22" t="n">
        <v>0.00854</v>
      </c>
      <c r="AC8" s="22" t="n">
        <v>0.00623</v>
      </c>
      <c r="AD8" s="22" t="n">
        <v>0.00636</v>
      </c>
      <c r="AE8" s="22" t="n">
        <v>0.00683</v>
      </c>
      <c r="AF8" s="22" t="n">
        <v>0.00733</v>
      </c>
      <c r="AG8" s="22" t="n">
        <v>0.00782</v>
      </c>
      <c r="AH8" s="22" t="n">
        <v>0.00826</v>
      </c>
      <c r="AI8" s="22" t="n">
        <v>0.00878</v>
      </c>
      <c r="AJ8" s="22" t="n">
        <v>0.00938</v>
      </c>
      <c r="AK8" s="22" t="n">
        <v>0.01013</v>
      </c>
      <c r="AL8" s="22" t="n">
        <v>0.01115</v>
      </c>
      <c r="AM8" s="22" t="n">
        <v>0.01269</v>
      </c>
      <c r="AN8" s="22" t="n">
        <v>0.01476</v>
      </c>
      <c r="AO8" s="22" t="n">
        <v>0.01725</v>
      </c>
      <c r="AP8" s="22" t="n">
        <v>0.00619</v>
      </c>
      <c r="AQ8" s="22" t="s">
        <v>206</v>
      </c>
      <c r="AR8" s="22" t="n">
        <v>0.04</v>
      </c>
      <c r="AS8" s="22" t="n">
        <v>0.3</v>
      </c>
      <c r="AT8" s="22" t="n">
        <v>0</v>
      </c>
      <c r="AU8" s="22" t="n">
        <v>0</v>
      </c>
      <c r="AV8" s="22" t="n">
        <v>0</v>
      </c>
      <c r="AW8" s="22" t="s">
        <v>206</v>
      </c>
      <c r="AX8" s="22" t="n">
        <v>0.04</v>
      </c>
      <c r="AY8" s="22" t="n">
        <v>0.3</v>
      </c>
      <c r="AZ8" s="22" t="n">
        <v>0</v>
      </c>
      <c r="BA8" s="22" t="n">
        <v>0</v>
      </c>
      <c r="BB8" s="22" t="n">
        <v>0</v>
      </c>
    </row>
    <row r="9" customFormat="false" ht="14.4" hidden="false" customHeight="false" outlineLevel="0" collapsed="false">
      <c r="A9" s="22" t="str">
        <f aca="false">Main_Input!A9</f>
        <v>JetSubmersible_FW2.3</v>
      </c>
      <c r="B9" s="22" t="s">
        <v>205</v>
      </c>
      <c r="C9" s="22" t="n">
        <v>0.12</v>
      </c>
      <c r="D9" s="22" t="n">
        <v>0.3</v>
      </c>
      <c r="E9" s="22" t="n">
        <v>-0.4201</v>
      </c>
      <c r="F9" s="22" t="n">
        <v>-0.3163</v>
      </c>
      <c r="G9" s="22" t="n">
        <v>-0.2082</v>
      </c>
      <c r="H9" s="22" t="n">
        <v>-0.099</v>
      </c>
      <c r="I9" s="22" t="n">
        <v>0.0103</v>
      </c>
      <c r="J9" s="22" t="n">
        <v>0.0984</v>
      </c>
      <c r="K9" s="22" t="n">
        <v>0.2044</v>
      </c>
      <c r="L9" s="22" t="n">
        <v>0.3148</v>
      </c>
      <c r="M9" s="22" t="n">
        <v>0.4474</v>
      </c>
      <c r="N9" s="22" t="n">
        <v>0.5846</v>
      </c>
      <c r="O9" s="22" t="n">
        <v>0.7204</v>
      </c>
      <c r="P9" s="22" t="n">
        <v>0.8557</v>
      </c>
      <c r="Q9" s="22" t="n">
        <v>0.9726</v>
      </c>
      <c r="R9" s="22" t="n">
        <v>1.0646</v>
      </c>
      <c r="S9" s="22" t="n">
        <v>1.1528</v>
      </c>
      <c r="T9" s="22" t="n">
        <v>1.235</v>
      </c>
      <c r="U9" s="22" t="n">
        <v>1.3119</v>
      </c>
      <c r="V9" s="22" t="n">
        <v>1.3852</v>
      </c>
      <c r="W9" s="22" t="n">
        <v>1.5014</v>
      </c>
      <c r="X9" s="22" t="n">
        <v>0.0101</v>
      </c>
      <c r="Y9" s="22" t="n">
        <v>0.00944</v>
      </c>
      <c r="Z9" s="22" t="n">
        <v>0.00913</v>
      </c>
      <c r="AA9" s="22" t="n">
        <v>0.00886</v>
      </c>
      <c r="AB9" s="22" t="n">
        <v>0.00854</v>
      </c>
      <c r="AC9" s="22" t="n">
        <v>0.00623</v>
      </c>
      <c r="AD9" s="22" t="n">
        <v>0.00636</v>
      </c>
      <c r="AE9" s="22" t="n">
        <v>0.00683</v>
      </c>
      <c r="AF9" s="22" t="n">
        <v>0.00733</v>
      </c>
      <c r="AG9" s="22" t="n">
        <v>0.00782</v>
      </c>
      <c r="AH9" s="22" t="n">
        <v>0.00826</v>
      </c>
      <c r="AI9" s="22" t="n">
        <v>0.00878</v>
      </c>
      <c r="AJ9" s="22" t="n">
        <v>0.00938</v>
      </c>
      <c r="AK9" s="22" t="n">
        <v>0.01013</v>
      </c>
      <c r="AL9" s="22" t="n">
        <v>0.01115</v>
      </c>
      <c r="AM9" s="22" t="n">
        <v>0.01269</v>
      </c>
      <c r="AN9" s="22" t="n">
        <v>0.01476</v>
      </c>
      <c r="AO9" s="22" t="n">
        <v>0.01725</v>
      </c>
      <c r="AP9" s="22" t="n">
        <v>0.00619</v>
      </c>
      <c r="AQ9" s="22" t="s">
        <v>206</v>
      </c>
      <c r="AR9" s="22" t="n">
        <v>0.04</v>
      </c>
      <c r="AS9" s="22" t="n">
        <v>0.3</v>
      </c>
      <c r="AT9" s="22" t="n">
        <v>0</v>
      </c>
      <c r="AU9" s="22" t="n">
        <v>0</v>
      </c>
      <c r="AV9" s="22" t="n">
        <v>0</v>
      </c>
      <c r="AW9" s="22" t="s">
        <v>206</v>
      </c>
      <c r="AX9" s="22" t="n">
        <v>0.04</v>
      </c>
      <c r="AY9" s="22" t="n">
        <v>0.3</v>
      </c>
      <c r="AZ9" s="22" t="n">
        <v>0</v>
      </c>
      <c r="BA9" s="22" t="n">
        <v>0</v>
      </c>
      <c r="BB9" s="22" t="n">
        <v>0</v>
      </c>
    </row>
    <row r="10" customFormat="false" ht="14.4" hidden="false" customHeight="false" outlineLevel="0" collapsed="false">
      <c r="A10" s="22" t="str">
        <f aca="false">Main_Input!A10</f>
        <v>JetSubmersible_FW2.4</v>
      </c>
      <c r="B10" s="22" t="s">
        <v>205</v>
      </c>
      <c r="C10" s="22" t="n">
        <v>0.12</v>
      </c>
      <c r="D10" s="22" t="n">
        <v>0.3</v>
      </c>
      <c r="E10" s="22" t="n">
        <v>-0.4201</v>
      </c>
      <c r="F10" s="22" t="n">
        <v>-0.3163</v>
      </c>
      <c r="G10" s="22" t="n">
        <v>-0.2082</v>
      </c>
      <c r="H10" s="22" t="n">
        <v>-0.099</v>
      </c>
      <c r="I10" s="22" t="n">
        <v>0.0103</v>
      </c>
      <c r="J10" s="22" t="n">
        <v>0.0984</v>
      </c>
      <c r="K10" s="22" t="n">
        <v>0.2044</v>
      </c>
      <c r="L10" s="22" t="n">
        <v>0.3148</v>
      </c>
      <c r="M10" s="22" t="n">
        <v>0.4474</v>
      </c>
      <c r="N10" s="22" t="n">
        <v>0.5846</v>
      </c>
      <c r="O10" s="22" t="n">
        <v>0.7204</v>
      </c>
      <c r="P10" s="22" t="n">
        <v>0.8557</v>
      </c>
      <c r="Q10" s="22" t="n">
        <v>0.9726</v>
      </c>
      <c r="R10" s="22" t="n">
        <v>1.0646</v>
      </c>
      <c r="S10" s="22" t="n">
        <v>1.1528</v>
      </c>
      <c r="T10" s="22" t="n">
        <v>1.235</v>
      </c>
      <c r="U10" s="22" t="n">
        <v>1.3119</v>
      </c>
      <c r="V10" s="22" t="n">
        <v>1.3852</v>
      </c>
      <c r="W10" s="22" t="n">
        <v>1.5014</v>
      </c>
      <c r="X10" s="22" t="n">
        <v>0.0101</v>
      </c>
      <c r="Y10" s="22" t="n">
        <v>0.00944</v>
      </c>
      <c r="Z10" s="22" t="n">
        <v>0.00913</v>
      </c>
      <c r="AA10" s="22" t="n">
        <v>0.00886</v>
      </c>
      <c r="AB10" s="22" t="n">
        <v>0.00854</v>
      </c>
      <c r="AC10" s="22" t="n">
        <v>0.00623</v>
      </c>
      <c r="AD10" s="22" t="n">
        <v>0.00636</v>
      </c>
      <c r="AE10" s="22" t="n">
        <v>0.00683</v>
      </c>
      <c r="AF10" s="22" t="n">
        <v>0.00733</v>
      </c>
      <c r="AG10" s="22" t="n">
        <v>0.00782</v>
      </c>
      <c r="AH10" s="22" t="n">
        <v>0.00826</v>
      </c>
      <c r="AI10" s="22" t="n">
        <v>0.00878</v>
      </c>
      <c r="AJ10" s="22" t="n">
        <v>0.00938</v>
      </c>
      <c r="AK10" s="22" t="n">
        <v>0.01013</v>
      </c>
      <c r="AL10" s="22" t="n">
        <v>0.01115</v>
      </c>
      <c r="AM10" s="22" t="n">
        <v>0.01269</v>
      </c>
      <c r="AN10" s="22" t="n">
        <v>0.01476</v>
      </c>
      <c r="AO10" s="22" t="n">
        <v>0.01725</v>
      </c>
      <c r="AP10" s="22" t="n">
        <v>0.00619</v>
      </c>
      <c r="AQ10" s="22" t="s">
        <v>206</v>
      </c>
      <c r="AR10" s="22" t="n">
        <v>0.04</v>
      </c>
      <c r="AS10" s="22" t="n">
        <v>0.3</v>
      </c>
      <c r="AT10" s="22" t="n">
        <v>0</v>
      </c>
      <c r="AU10" s="22" t="n">
        <v>0</v>
      </c>
      <c r="AV10" s="22" t="n">
        <v>0</v>
      </c>
      <c r="AW10" s="22" t="s">
        <v>206</v>
      </c>
      <c r="AX10" s="22" t="n">
        <v>0.04</v>
      </c>
      <c r="AY10" s="22" t="n">
        <v>0.3</v>
      </c>
      <c r="AZ10" s="22" t="n">
        <v>0</v>
      </c>
      <c r="BA10" s="22" t="n">
        <v>0</v>
      </c>
      <c r="BB10" s="22" t="n">
        <v>0</v>
      </c>
    </row>
    <row r="11" customFormat="false" ht="14.4" hidden="false" customHeight="false" outlineLevel="0" collapsed="false">
      <c r="A11" s="22" t="str">
        <f aca="false">Main_Input!A11</f>
        <v>JetSubmersible_FW2.5</v>
      </c>
      <c r="B11" s="22" t="s">
        <v>205</v>
      </c>
      <c r="C11" s="22" t="n">
        <v>0.12</v>
      </c>
      <c r="D11" s="22" t="n">
        <v>0.3</v>
      </c>
      <c r="E11" s="22" t="n">
        <v>-0.4201</v>
      </c>
      <c r="F11" s="22" t="n">
        <v>-0.3163</v>
      </c>
      <c r="G11" s="22" t="n">
        <v>-0.2082</v>
      </c>
      <c r="H11" s="22" t="n">
        <v>-0.099</v>
      </c>
      <c r="I11" s="22" t="n">
        <v>0.0103</v>
      </c>
      <c r="J11" s="22" t="n">
        <v>0.0984</v>
      </c>
      <c r="K11" s="22" t="n">
        <v>0.2044</v>
      </c>
      <c r="L11" s="22" t="n">
        <v>0.3148</v>
      </c>
      <c r="M11" s="22" t="n">
        <v>0.4474</v>
      </c>
      <c r="N11" s="22" t="n">
        <v>0.5846</v>
      </c>
      <c r="O11" s="22" t="n">
        <v>0.7204</v>
      </c>
      <c r="P11" s="22" t="n">
        <v>0.8557</v>
      </c>
      <c r="Q11" s="22" t="n">
        <v>0.9726</v>
      </c>
      <c r="R11" s="22" t="n">
        <v>1.0646</v>
      </c>
      <c r="S11" s="22" t="n">
        <v>1.1528</v>
      </c>
      <c r="T11" s="22" t="n">
        <v>1.235</v>
      </c>
      <c r="U11" s="22" t="n">
        <v>1.3119</v>
      </c>
      <c r="V11" s="22" t="n">
        <v>1.3852</v>
      </c>
      <c r="W11" s="22" t="n">
        <v>1.5014</v>
      </c>
      <c r="X11" s="22" t="n">
        <v>0.0101</v>
      </c>
      <c r="Y11" s="22" t="n">
        <v>0.00944</v>
      </c>
      <c r="Z11" s="22" t="n">
        <v>0.00913</v>
      </c>
      <c r="AA11" s="22" t="n">
        <v>0.00886</v>
      </c>
      <c r="AB11" s="22" t="n">
        <v>0.00854</v>
      </c>
      <c r="AC11" s="22" t="n">
        <v>0.00623</v>
      </c>
      <c r="AD11" s="22" t="n">
        <v>0.00636</v>
      </c>
      <c r="AE11" s="22" t="n">
        <v>0.00683</v>
      </c>
      <c r="AF11" s="22" t="n">
        <v>0.00733</v>
      </c>
      <c r="AG11" s="22" t="n">
        <v>0.00782</v>
      </c>
      <c r="AH11" s="22" t="n">
        <v>0.00826</v>
      </c>
      <c r="AI11" s="22" t="n">
        <v>0.00878</v>
      </c>
      <c r="AJ11" s="22" t="n">
        <v>0.00938</v>
      </c>
      <c r="AK11" s="22" t="n">
        <v>0.01013</v>
      </c>
      <c r="AL11" s="22" t="n">
        <v>0.01115</v>
      </c>
      <c r="AM11" s="22" t="n">
        <v>0.01269</v>
      </c>
      <c r="AN11" s="22" t="n">
        <v>0.01476</v>
      </c>
      <c r="AO11" s="22" t="n">
        <v>0.01725</v>
      </c>
      <c r="AP11" s="22" t="n">
        <v>0.00619</v>
      </c>
      <c r="AQ11" s="22" t="s">
        <v>206</v>
      </c>
      <c r="AR11" s="22" t="n">
        <v>0.04</v>
      </c>
      <c r="AS11" s="22" t="n">
        <v>0.3</v>
      </c>
      <c r="AT11" s="22" t="n">
        <v>0</v>
      </c>
      <c r="AU11" s="22" t="n">
        <v>0</v>
      </c>
      <c r="AV11" s="22" t="n">
        <v>0</v>
      </c>
      <c r="AW11" s="22" t="s">
        <v>206</v>
      </c>
      <c r="AX11" s="22" t="n">
        <v>0.04</v>
      </c>
      <c r="AY11" s="22" t="n">
        <v>0.3</v>
      </c>
      <c r="AZ11" s="22" t="n">
        <v>0</v>
      </c>
      <c r="BA11" s="22" t="n">
        <v>0</v>
      </c>
      <c r="BB11" s="22" t="n">
        <v>0</v>
      </c>
    </row>
    <row r="16" s="24" customFormat="true" ht="14.4" hidden="false" customHeight="false" outlineLevel="0" collapsed="false"/>
    <row r="19" customFormat="false" ht="14.4" hidden="false" customHeight="false" outlineLevel="0" collapsed="false">
      <c r="B19" s="22" t="s">
        <v>207</v>
      </c>
      <c r="C19" s="22" t="n">
        <v>0.12</v>
      </c>
      <c r="D19" s="22" t="n">
        <v>0.3</v>
      </c>
      <c r="E19" s="6" t="n">
        <f aca="false">-0.483</f>
        <v>-0.483</v>
      </c>
      <c r="F19" s="25" t="n">
        <f aca="false">-0.3983</f>
        <v>-0.3983</v>
      </c>
      <c r="G19" s="25" t="n">
        <f aca="false">-0.3108</f>
        <v>-0.3108</v>
      </c>
      <c r="H19" s="25" t="n">
        <v>-0.2485</v>
      </c>
      <c r="I19" s="25" t="n">
        <v>-0.1244</v>
      </c>
      <c r="J19" s="22" t="n">
        <v>-0.0589</v>
      </c>
      <c r="K19" s="25" t="n">
        <v>0.1375</v>
      </c>
      <c r="L19" s="25" t="n">
        <v>0.3025</v>
      </c>
      <c r="M19" s="25" t="n">
        <v>0.4528</v>
      </c>
      <c r="N19" s="25" t="n">
        <v>0.599</v>
      </c>
      <c r="O19" s="25" t="n">
        <v>0.7429</v>
      </c>
      <c r="P19" s="25" t="n">
        <v>0.8567</v>
      </c>
      <c r="Q19" s="25" t="n">
        <v>0.9598</v>
      </c>
      <c r="R19" s="22" t="n">
        <v>1.0252</v>
      </c>
      <c r="S19" s="22" t="n">
        <v>1.0969</v>
      </c>
      <c r="T19" s="25" t="n">
        <v>1.1591</v>
      </c>
      <c r="U19" s="25" t="n">
        <v>1.1391</v>
      </c>
      <c r="V19" s="22" t="n">
        <v>1.001</v>
      </c>
      <c r="W19" s="22" t="n">
        <f aca="false">1.1591</f>
        <v>1.1591</v>
      </c>
      <c r="X19" s="25" t="n">
        <v>0.0314</v>
      </c>
      <c r="Y19" s="25" t="n">
        <v>0.02669</v>
      </c>
      <c r="Z19" s="25" t="n">
        <v>0.02669</v>
      </c>
      <c r="AA19" s="25" t="n">
        <v>0.02133</v>
      </c>
      <c r="AB19" s="25" t="n">
        <v>0.02191</v>
      </c>
      <c r="AC19" s="25" t="n">
        <v>0.02406</v>
      </c>
      <c r="AD19" s="25" t="n">
        <v>0.0281</v>
      </c>
      <c r="AE19" s="25" t="n">
        <v>0.03099</v>
      </c>
      <c r="AF19" s="25" t="n">
        <v>0.03304</v>
      </c>
      <c r="AG19" s="25" t="n">
        <v>0.03375</v>
      </c>
      <c r="AH19" s="25" t="n">
        <v>0.03256</v>
      </c>
      <c r="AI19" s="25" t="n">
        <v>0.03159</v>
      </c>
      <c r="AJ19" s="25" t="n">
        <v>0.03027</v>
      </c>
      <c r="AK19" s="26" t="n">
        <v>0.03245</v>
      </c>
      <c r="AL19" s="26" t="n">
        <v>0.039795</v>
      </c>
      <c r="AM19" s="25" t="n">
        <v>0.04997</v>
      </c>
      <c r="AN19" s="25" t="n">
        <v>0.0651</v>
      </c>
      <c r="AO19" s="26" t="n">
        <v>0.09201</v>
      </c>
      <c r="AP19" s="25" t="n">
        <v>0.02133</v>
      </c>
      <c r="AQ19" s="22" t="s">
        <v>206</v>
      </c>
      <c r="AR19" s="22" t="n">
        <v>0.04</v>
      </c>
      <c r="AS19" s="22" t="n">
        <v>0.3</v>
      </c>
      <c r="AT19" s="22" t="n">
        <v>0</v>
      </c>
      <c r="AU19" s="22" t="n">
        <v>0</v>
      </c>
      <c r="AV19" s="22" t="n">
        <v>0</v>
      </c>
      <c r="AW19" s="22" t="s">
        <v>206</v>
      </c>
      <c r="AX19" s="22" t="n">
        <v>0.04</v>
      </c>
      <c r="AY19" s="22" t="n">
        <v>0.3</v>
      </c>
      <c r="AZ19" s="22" t="n">
        <v>0</v>
      </c>
      <c r="BA19" s="22" t="n">
        <v>0</v>
      </c>
      <c r="BB19" s="22" t="n">
        <v>0</v>
      </c>
    </row>
    <row r="21" customFormat="false" ht="14.4" hidden="false" customHeight="false" outlineLevel="0" collapsed="false">
      <c r="B21" s="22" t="s">
        <v>205</v>
      </c>
      <c r="C21" s="22" t="n">
        <v>0.12</v>
      </c>
      <c r="D21" s="22" t="n">
        <v>0.3</v>
      </c>
      <c r="E21" s="22" t="n">
        <v>-0.4201</v>
      </c>
      <c r="F21" s="22" t="n">
        <v>-0.3163</v>
      </c>
      <c r="G21" s="22" t="n">
        <v>-0.2082</v>
      </c>
      <c r="H21" s="22" t="n">
        <v>-0.099</v>
      </c>
      <c r="I21" s="22" t="n">
        <v>0.0103</v>
      </c>
      <c r="J21" s="22" t="n">
        <v>0.0984</v>
      </c>
      <c r="K21" s="22" t="n">
        <v>0.2044</v>
      </c>
      <c r="L21" s="22" t="n">
        <v>0.3148</v>
      </c>
      <c r="M21" s="22" t="n">
        <v>0.4474</v>
      </c>
      <c r="N21" s="22" t="n">
        <v>0.5846</v>
      </c>
      <c r="O21" s="22" t="n">
        <v>0.7204</v>
      </c>
      <c r="P21" s="22" t="n">
        <v>0.8557</v>
      </c>
      <c r="Q21" s="22" t="n">
        <v>0.9726</v>
      </c>
      <c r="R21" s="22" t="n">
        <v>1.0646</v>
      </c>
      <c r="S21" s="22" t="n">
        <v>1.1528</v>
      </c>
      <c r="T21" s="22" t="n">
        <v>1.235</v>
      </c>
      <c r="U21" s="22" t="n">
        <v>1.3119</v>
      </c>
      <c r="V21" s="22" t="n">
        <v>1.3852</v>
      </c>
      <c r="W21" s="22" t="n">
        <v>1.5014</v>
      </c>
      <c r="X21" s="22" t="n">
        <v>0.0101</v>
      </c>
      <c r="Y21" s="22" t="n">
        <v>0.00944</v>
      </c>
      <c r="Z21" s="22" t="n">
        <v>0.00913</v>
      </c>
      <c r="AA21" s="22" t="n">
        <v>0.00886</v>
      </c>
      <c r="AB21" s="22" t="n">
        <v>0.00854</v>
      </c>
      <c r="AC21" s="22" t="n">
        <v>0.00623</v>
      </c>
      <c r="AD21" s="22" t="n">
        <v>0.00636</v>
      </c>
      <c r="AE21" s="22" t="n">
        <v>0.00683</v>
      </c>
      <c r="AF21" s="22" t="n">
        <v>0.00733</v>
      </c>
      <c r="AG21" s="22" t="n">
        <v>0.00782</v>
      </c>
      <c r="AH21" s="22" t="n">
        <v>0.00826</v>
      </c>
      <c r="AI21" s="22" t="n">
        <v>0.00878</v>
      </c>
      <c r="AJ21" s="22" t="n">
        <v>0.00938</v>
      </c>
      <c r="AK21" s="22" t="n">
        <v>0.01013</v>
      </c>
      <c r="AL21" s="22" t="n">
        <v>0.01115</v>
      </c>
      <c r="AM21" s="22" t="n">
        <v>0.01269</v>
      </c>
      <c r="AN21" s="22" t="n">
        <v>0.01476</v>
      </c>
      <c r="AO21" s="22" t="n">
        <v>0.01725</v>
      </c>
      <c r="AP21" s="22" t="n">
        <v>0.00619</v>
      </c>
      <c r="AQ21" s="22" t="s">
        <v>206</v>
      </c>
      <c r="AR21" s="22" t="n">
        <v>0.04</v>
      </c>
      <c r="AS21" s="22" t="n">
        <v>0.3</v>
      </c>
      <c r="AT21" s="22" t="n">
        <v>0</v>
      </c>
      <c r="AU21" s="22" t="n">
        <v>0</v>
      </c>
      <c r="AV21" s="22" t="n">
        <v>0</v>
      </c>
      <c r="AW21" s="22" t="s">
        <v>206</v>
      </c>
      <c r="AX21" s="22" t="n">
        <v>0.04</v>
      </c>
      <c r="AY21" s="22" t="n">
        <v>0.3</v>
      </c>
      <c r="AZ21" s="22" t="n">
        <v>0</v>
      </c>
      <c r="BA21" s="22" t="n">
        <v>0</v>
      </c>
      <c r="BB21" s="22" t="n">
        <v>0</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A1:R18"/>
  <sheetViews>
    <sheetView showFormulas="false" showGridLines="true" showRowColHeaders="true" showZeros="true" rightToLeft="false" tabSelected="false" showOutlineSymbols="true" defaultGridColor="true" view="normal" topLeftCell="A1" colorId="64" zoomScale="164" zoomScaleNormal="164" zoomScalePageLayoutView="100" workbookViewId="0">
      <selection pane="topLeft" activeCell="C14" activeCellId="0" sqref="C14"/>
    </sheetView>
  </sheetViews>
  <sheetFormatPr defaultRowHeight="14.4" zeroHeight="false" outlineLevelRow="0" outlineLevelCol="0"/>
  <cols>
    <col collapsed="false" customWidth="true" hidden="false" outlineLevel="0" max="1" min="1" style="0" width="20.66"/>
    <col collapsed="false" customWidth="true" hidden="false" outlineLevel="0" max="2" min="2" style="0" width="21.44"/>
    <col collapsed="false" customWidth="true" hidden="false" outlineLevel="0" max="3" min="3" style="0" width="8.78"/>
    <col collapsed="false" customWidth="true" hidden="false" outlineLevel="0" max="4" min="4" style="0" width="10"/>
    <col collapsed="false" customWidth="false" hidden="false" outlineLevel="0" max="5" min="5" style="0" width="11.45"/>
    <col collapsed="false" customWidth="true" hidden="false" outlineLevel="0" max="6" min="6" style="0" width="8.78"/>
    <col collapsed="false" customWidth="false" hidden="false" outlineLevel="0" max="7" min="7" style="0" width="11.45"/>
    <col collapsed="false" customWidth="true" hidden="false" outlineLevel="0" max="8" min="8" style="0" width="10.77"/>
    <col collapsed="false" customWidth="true" hidden="false" outlineLevel="0" max="9" min="9" style="0" width="10"/>
    <col collapsed="false" customWidth="true" hidden="false" outlineLevel="0" max="1025" min="10" style="0" width="8.78"/>
  </cols>
  <sheetData>
    <row r="1" customFormat="false" ht="14.4" hidden="false" customHeight="false" outlineLevel="0" collapsed="false">
      <c r="A1" s="27" t="s">
        <v>56</v>
      </c>
      <c r="B1" s="27" t="s">
        <v>208</v>
      </c>
      <c r="C1" s="27" t="s">
        <v>209</v>
      </c>
      <c r="D1" s="28" t="s">
        <v>210</v>
      </c>
      <c r="E1" s="28" t="s">
        <v>211</v>
      </c>
      <c r="F1" s="28" t="s">
        <v>212</v>
      </c>
      <c r="G1" s="28" t="s">
        <v>213</v>
      </c>
      <c r="H1" s="28" t="s">
        <v>214</v>
      </c>
      <c r="I1" s="29" t="s">
        <v>215</v>
      </c>
      <c r="J1" s="29" t="s">
        <v>216</v>
      </c>
      <c r="K1" s="29" t="s">
        <v>217</v>
      </c>
      <c r="L1" s="29" t="s">
        <v>218</v>
      </c>
      <c r="M1" s="30" t="s">
        <v>219</v>
      </c>
      <c r="N1" s="30" t="s">
        <v>220</v>
      </c>
      <c r="O1" s="30" t="s">
        <v>221</v>
      </c>
      <c r="P1" s="30" t="s">
        <v>222</v>
      </c>
      <c r="Q1" s="30" t="s">
        <v>223</v>
      </c>
      <c r="R1" s="30" t="s">
        <v>224</v>
      </c>
    </row>
    <row r="2" customFormat="false" ht="14.4" hidden="false" customHeight="false" outlineLevel="0" collapsed="false">
      <c r="A2" s="22" t="str">
        <f aca="false">Main_Input!A2</f>
        <v>JetSubmersible_FW1.1</v>
      </c>
      <c r="B2" s="31" t="s">
        <v>225</v>
      </c>
      <c r="C2" s="0" t="n">
        <v>1</v>
      </c>
      <c r="D2" s="0" t="n">
        <v>12200</v>
      </c>
      <c r="E2" s="0" t="n">
        <v>0.65</v>
      </c>
      <c r="F2" s="0" t="n">
        <v>0</v>
      </c>
      <c r="G2" s="0" t="n">
        <v>0</v>
      </c>
      <c r="H2" s="0" t="n">
        <v>0.2</v>
      </c>
      <c r="I2" s="0" t="n">
        <v>0</v>
      </c>
      <c r="J2" s="0" t="n">
        <v>0</v>
      </c>
      <c r="K2" s="0" t="n">
        <v>0</v>
      </c>
      <c r="L2" s="0" t="n">
        <v>0</v>
      </c>
      <c r="M2" s="0" t="n">
        <v>0</v>
      </c>
      <c r="N2" s="0" t="n">
        <v>0</v>
      </c>
      <c r="O2" s="0" t="n">
        <v>0</v>
      </c>
      <c r="P2" s="0" t="n">
        <v>0</v>
      </c>
      <c r="Q2" s="0" t="n">
        <v>0</v>
      </c>
      <c r="R2" s="0" t="n">
        <v>0</v>
      </c>
    </row>
    <row r="3" customFormat="false" ht="14.4" hidden="false" customHeight="false" outlineLevel="0" collapsed="false">
      <c r="A3" s="22" t="str">
        <f aca="false">Main_Input!A3</f>
        <v>JetSubmersible_FW1.2</v>
      </c>
      <c r="B3" s="31" t="s">
        <v>225</v>
      </c>
      <c r="C3" s="0" t="n">
        <v>1</v>
      </c>
      <c r="D3" s="0" t="n">
        <v>12200</v>
      </c>
      <c r="E3" s="0" t="n">
        <v>0.65</v>
      </c>
      <c r="F3" s="0" t="n">
        <v>0</v>
      </c>
      <c r="G3" s="0" t="n">
        <v>0</v>
      </c>
      <c r="H3" s="0" t="n">
        <v>0.2</v>
      </c>
      <c r="I3" s="0" t="n">
        <v>0</v>
      </c>
      <c r="J3" s="0" t="n">
        <v>0</v>
      </c>
      <c r="K3" s="0" t="n">
        <v>0</v>
      </c>
      <c r="L3" s="0" t="n">
        <v>0</v>
      </c>
      <c r="M3" s="0" t="n">
        <v>0</v>
      </c>
      <c r="N3" s="0" t="n">
        <v>0</v>
      </c>
      <c r="O3" s="0" t="n">
        <v>0</v>
      </c>
      <c r="P3" s="0" t="n">
        <v>0</v>
      </c>
      <c r="Q3" s="0" t="n">
        <v>0</v>
      </c>
      <c r="R3" s="0" t="n">
        <v>0</v>
      </c>
    </row>
    <row r="4" customFormat="false" ht="14.4" hidden="false" customHeight="false" outlineLevel="0" collapsed="false">
      <c r="A4" s="22" t="str">
        <f aca="false">Main_Input!A4</f>
        <v>JetSubmersible_FW1.3</v>
      </c>
      <c r="B4" s="31" t="s">
        <v>225</v>
      </c>
      <c r="C4" s="0" t="n">
        <v>1</v>
      </c>
      <c r="D4" s="0" t="n">
        <v>12200</v>
      </c>
      <c r="E4" s="0" t="n">
        <v>0.65</v>
      </c>
      <c r="F4" s="0" t="n">
        <v>0</v>
      </c>
      <c r="G4" s="0" t="n">
        <v>0</v>
      </c>
      <c r="H4" s="0" t="n">
        <v>0.2</v>
      </c>
      <c r="I4" s="0" t="n">
        <v>0</v>
      </c>
      <c r="J4" s="0" t="n">
        <v>0</v>
      </c>
      <c r="K4" s="0" t="n">
        <v>0</v>
      </c>
      <c r="L4" s="0" t="n">
        <v>0</v>
      </c>
      <c r="M4" s="0" t="n">
        <v>0</v>
      </c>
      <c r="N4" s="0" t="n">
        <v>0</v>
      </c>
      <c r="O4" s="0" t="n">
        <v>0</v>
      </c>
      <c r="P4" s="0" t="n">
        <v>0</v>
      </c>
      <c r="Q4" s="0" t="n">
        <v>0</v>
      </c>
      <c r="R4" s="0" t="n">
        <v>0</v>
      </c>
    </row>
    <row r="5" customFormat="false" ht="14.4" hidden="false" customHeight="false" outlineLevel="0" collapsed="false">
      <c r="A5" s="22" t="str">
        <f aca="false">Main_Input!A5</f>
        <v>JetSubmersible_FW1.4</v>
      </c>
      <c r="B5" s="31" t="s">
        <v>225</v>
      </c>
      <c r="C5" s="0" t="n">
        <v>1</v>
      </c>
      <c r="D5" s="0" t="n">
        <v>12200</v>
      </c>
      <c r="E5" s="0" t="n">
        <v>0.65</v>
      </c>
      <c r="F5" s="0" t="n">
        <v>0</v>
      </c>
      <c r="G5" s="0" t="n">
        <v>0</v>
      </c>
      <c r="H5" s="0" t="n">
        <v>0.2</v>
      </c>
      <c r="I5" s="0" t="n">
        <v>0</v>
      </c>
      <c r="J5" s="0" t="n">
        <v>0</v>
      </c>
      <c r="K5" s="0" t="n">
        <v>0</v>
      </c>
      <c r="L5" s="0" t="n">
        <v>0</v>
      </c>
      <c r="M5" s="0" t="n">
        <v>0</v>
      </c>
      <c r="N5" s="0" t="n">
        <v>0</v>
      </c>
      <c r="O5" s="0" t="n">
        <v>0</v>
      </c>
      <c r="P5" s="0" t="n">
        <v>0</v>
      </c>
      <c r="Q5" s="0" t="n">
        <v>0</v>
      </c>
      <c r="R5" s="0" t="n">
        <v>0</v>
      </c>
    </row>
    <row r="6" customFormat="false" ht="14.4" hidden="false" customHeight="false" outlineLevel="0" collapsed="false">
      <c r="A6" s="22" t="str">
        <f aca="false">Main_Input!A6</f>
        <v>JetSubmersible_FW1.5</v>
      </c>
      <c r="B6" s="31" t="s">
        <v>225</v>
      </c>
      <c r="C6" s="0" t="n">
        <v>1</v>
      </c>
      <c r="D6" s="0" t="n">
        <v>12200</v>
      </c>
      <c r="E6" s="0" t="n">
        <v>0.65</v>
      </c>
      <c r="F6" s="0" t="n">
        <v>0</v>
      </c>
      <c r="G6" s="0" t="n">
        <v>0</v>
      </c>
      <c r="H6" s="0" t="n">
        <v>0.2</v>
      </c>
      <c r="I6" s="0" t="n">
        <v>0</v>
      </c>
      <c r="J6" s="0" t="n">
        <v>0</v>
      </c>
      <c r="K6" s="0" t="n">
        <v>0</v>
      </c>
      <c r="L6" s="0" t="n">
        <v>0</v>
      </c>
      <c r="M6" s="0" t="n">
        <v>0</v>
      </c>
      <c r="N6" s="0" t="n">
        <v>0</v>
      </c>
      <c r="O6" s="0" t="n">
        <v>0</v>
      </c>
      <c r="P6" s="0" t="n">
        <v>0</v>
      </c>
      <c r="Q6" s="0" t="n">
        <v>0</v>
      </c>
      <c r="R6" s="0" t="n">
        <v>0</v>
      </c>
    </row>
    <row r="7" customFormat="false" ht="14.4" hidden="false" customHeight="false" outlineLevel="0" collapsed="false">
      <c r="A7" s="22" t="str">
        <f aca="false">Main_Input!A7</f>
        <v>JetSubmersible_FW2.1</v>
      </c>
      <c r="B7" s="31" t="s">
        <v>225</v>
      </c>
      <c r="C7" s="0" t="n">
        <v>1</v>
      </c>
      <c r="D7" s="0" t="n">
        <v>12200</v>
      </c>
      <c r="E7" s="0" t="n">
        <v>0.65</v>
      </c>
      <c r="F7" s="0" t="n">
        <v>0</v>
      </c>
      <c r="G7" s="0" t="n">
        <v>0</v>
      </c>
      <c r="H7" s="0" t="n">
        <v>0.2</v>
      </c>
      <c r="I7" s="0" t="n">
        <v>0</v>
      </c>
      <c r="J7" s="0" t="n">
        <v>0</v>
      </c>
      <c r="K7" s="0" t="n">
        <v>0</v>
      </c>
      <c r="L7" s="0" t="n">
        <v>0</v>
      </c>
      <c r="M7" s="0" t="n">
        <v>0</v>
      </c>
      <c r="N7" s="0" t="n">
        <v>0</v>
      </c>
      <c r="O7" s="0" t="n">
        <v>0</v>
      </c>
      <c r="P7" s="0" t="n">
        <v>0</v>
      </c>
      <c r="Q7" s="0" t="n">
        <v>0</v>
      </c>
      <c r="R7" s="0" t="n">
        <v>0</v>
      </c>
    </row>
    <row r="8" customFormat="false" ht="14.4" hidden="false" customHeight="false" outlineLevel="0" collapsed="false">
      <c r="A8" s="22" t="str">
        <f aca="false">Main_Input!A8</f>
        <v>JetSubmersible_FW2.2</v>
      </c>
      <c r="B8" s="31" t="s">
        <v>225</v>
      </c>
      <c r="C8" s="0" t="n">
        <v>1</v>
      </c>
      <c r="D8" s="0" t="n">
        <v>12200</v>
      </c>
      <c r="E8" s="0" t="n">
        <v>0.65</v>
      </c>
      <c r="F8" s="0" t="n">
        <v>0</v>
      </c>
      <c r="G8" s="0" t="n">
        <v>0</v>
      </c>
      <c r="H8" s="0" t="n">
        <v>0.2</v>
      </c>
      <c r="I8" s="0" t="n">
        <v>0</v>
      </c>
      <c r="J8" s="0" t="n">
        <v>0</v>
      </c>
      <c r="K8" s="0" t="n">
        <v>0</v>
      </c>
      <c r="L8" s="0" t="n">
        <v>0</v>
      </c>
      <c r="M8" s="0" t="n">
        <v>0</v>
      </c>
      <c r="N8" s="0" t="n">
        <v>0</v>
      </c>
      <c r="O8" s="0" t="n">
        <v>0</v>
      </c>
      <c r="P8" s="0" t="n">
        <v>0</v>
      </c>
      <c r="Q8" s="0" t="n">
        <v>0</v>
      </c>
      <c r="R8" s="0" t="n">
        <v>0</v>
      </c>
    </row>
    <row r="9" customFormat="false" ht="14.4" hidden="false" customHeight="false" outlineLevel="0" collapsed="false">
      <c r="A9" s="22" t="str">
        <f aca="false">Main_Input!A9</f>
        <v>JetSubmersible_FW2.3</v>
      </c>
      <c r="B9" s="31" t="s">
        <v>225</v>
      </c>
      <c r="C9" s="0" t="n">
        <v>1</v>
      </c>
      <c r="D9" s="0" t="n">
        <v>12200</v>
      </c>
      <c r="E9" s="0" t="n">
        <v>0.65</v>
      </c>
      <c r="F9" s="0" t="n">
        <v>0</v>
      </c>
      <c r="G9" s="0" t="n">
        <v>0</v>
      </c>
      <c r="H9" s="0" t="n">
        <v>0.2</v>
      </c>
      <c r="I9" s="0" t="n">
        <v>0</v>
      </c>
      <c r="J9" s="0" t="n">
        <v>0</v>
      </c>
      <c r="K9" s="0" t="n">
        <v>0</v>
      </c>
      <c r="L9" s="0" t="n">
        <v>0</v>
      </c>
      <c r="M9" s="0" t="n">
        <v>0</v>
      </c>
      <c r="N9" s="0" t="n">
        <v>0</v>
      </c>
      <c r="O9" s="0" t="n">
        <v>0</v>
      </c>
      <c r="P9" s="0" t="n">
        <v>0</v>
      </c>
      <c r="Q9" s="0" t="n">
        <v>0</v>
      </c>
      <c r="R9" s="0" t="n">
        <v>0</v>
      </c>
    </row>
    <row r="10" customFormat="false" ht="14.4" hidden="false" customHeight="false" outlineLevel="0" collapsed="false">
      <c r="A10" s="22" t="str">
        <f aca="false">Main_Input!A10</f>
        <v>JetSubmersible_FW2.4</v>
      </c>
      <c r="B10" s="31" t="s">
        <v>225</v>
      </c>
      <c r="C10" s="0" t="n">
        <v>1</v>
      </c>
      <c r="D10" s="0" t="n">
        <v>12200</v>
      </c>
      <c r="E10" s="0" t="n">
        <v>0.65</v>
      </c>
      <c r="F10" s="0" t="n">
        <v>0</v>
      </c>
      <c r="G10" s="0" t="n">
        <v>0</v>
      </c>
      <c r="H10" s="0" t="n">
        <v>0.2</v>
      </c>
      <c r="I10" s="0" t="n">
        <v>0</v>
      </c>
      <c r="J10" s="0" t="n">
        <v>0</v>
      </c>
      <c r="K10" s="0" t="n">
        <v>0</v>
      </c>
      <c r="L10" s="0" t="n">
        <v>0</v>
      </c>
      <c r="M10" s="0" t="n">
        <v>0</v>
      </c>
      <c r="N10" s="0" t="n">
        <v>0</v>
      </c>
      <c r="O10" s="0" t="n">
        <v>0</v>
      </c>
      <c r="P10" s="0" t="n">
        <v>0</v>
      </c>
      <c r="Q10" s="0" t="n">
        <v>0</v>
      </c>
      <c r="R10" s="0" t="n">
        <v>0</v>
      </c>
    </row>
    <row r="11" customFormat="false" ht="14.4" hidden="false" customHeight="false" outlineLevel="0" collapsed="false">
      <c r="A11" s="22" t="str">
        <f aca="false">Main_Input!A11</f>
        <v>JetSubmersible_FW2.5</v>
      </c>
      <c r="B11" s="31" t="s">
        <v>225</v>
      </c>
      <c r="C11" s="0" t="n">
        <v>1</v>
      </c>
      <c r="D11" s="0" t="n">
        <v>12200</v>
      </c>
      <c r="E11" s="0" t="n">
        <v>0.65</v>
      </c>
      <c r="F11" s="0" t="n">
        <v>0</v>
      </c>
      <c r="G11" s="0" t="n">
        <v>0</v>
      </c>
      <c r="H11" s="0" t="n">
        <v>0.2</v>
      </c>
      <c r="I11" s="0" t="n">
        <v>0</v>
      </c>
      <c r="J11" s="0" t="n">
        <v>0</v>
      </c>
      <c r="K11" s="0" t="n">
        <v>0</v>
      </c>
      <c r="L11" s="0" t="n">
        <v>0</v>
      </c>
      <c r="M11" s="0" t="n">
        <v>0</v>
      </c>
      <c r="N11" s="0" t="n">
        <v>0</v>
      </c>
      <c r="O11" s="0" t="n">
        <v>0</v>
      </c>
      <c r="P11" s="0" t="n">
        <v>0</v>
      </c>
      <c r="Q11" s="0" t="n">
        <v>0</v>
      </c>
      <c r="R11" s="0" t="n">
        <v>0</v>
      </c>
    </row>
    <row r="12" customFormat="false" ht="14.4" hidden="false" customHeight="false" outlineLevel="0" collapsed="false">
      <c r="A12" s="22"/>
      <c r="B12" s="31"/>
    </row>
    <row r="13" customFormat="false" ht="14.4" hidden="false" customHeight="false" outlineLevel="0" collapsed="false">
      <c r="A13" s="22"/>
      <c r="B13" s="31"/>
    </row>
    <row r="14" customFormat="false" ht="14.4" hidden="false" customHeight="false" outlineLevel="0" collapsed="false">
      <c r="A14" s="22"/>
      <c r="B14" s="31"/>
    </row>
    <row r="15" s="12" customFormat="true" ht="14.4" hidden="false" customHeight="false" outlineLevel="0" collapsed="false"/>
    <row r="16" customFormat="false" ht="14.4" hidden="false" customHeight="false" outlineLevel="0" collapsed="false">
      <c r="A16" s="7"/>
    </row>
    <row r="17" customFormat="false" ht="14.4" hidden="false" customHeight="false" outlineLevel="0" collapsed="false">
      <c r="B17" s="31"/>
    </row>
    <row r="18" customFormat="false" ht="14.4" hidden="false" customHeight="false" outlineLevel="0" collapsed="false">
      <c r="B18" s="31"/>
    </row>
  </sheetData>
  <dataValidations count="1">
    <dataValidation allowBlank="true" operator="between" showDropDown="false" showErrorMessage="true" showInputMessage="true" sqref="B2:B14 B17:B18" type="list">
      <formula1>Lists!$A$2:$A$7</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69" zoomScaleNormal="169" zoomScalePageLayoutView="100" workbookViewId="0">
      <selection pane="topLeft" activeCell="A14" activeCellId="0" sqref="A14"/>
    </sheetView>
  </sheetViews>
  <sheetFormatPr defaultRowHeight="14.4" zeroHeight="false" outlineLevelRow="0" outlineLevelCol="0"/>
  <cols>
    <col collapsed="false" customWidth="true" hidden="false" outlineLevel="0" max="1" min="1" style="0" width="19.33"/>
    <col collapsed="false" customWidth="true" hidden="false" outlineLevel="0" max="2" min="2" style="0" width="26.11"/>
    <col collapsed="false" customWidth="true" hidden="false" outlineLevel="0" max="3" min="3" style="0" width="18.11"/>
    <col collapsed="false" customWidth="true" hidden="false" outlineLevel="0" max="1025" min="4" style="0" width="8.78"/>
  </cols>
  <sheetData>
    <row r="1" customFormat="false" ht="14.4" hidden="false" customHeight="false" outlineLevel="0" collapsed="false">
      <c r="A1" s="31" t="s">
        <v>208</v>
      </c>
      <c r="B1" s="31" t="s">
        <v>111</v>
      </c>
    </row>
    <row r="2" customFormat="false" ht="14.4" hidden="false" customHeight="false" outlineLevel="0" collapsed="false">
      <c r="A2" s="0" t="s">
        <v>226</v>
      </c>
      <c r="B2" s="0" t="s">
        <v>159</v>
      </c>
    </row>
    <row r="3" customFormat="false" ht="14.4" hidden="false" customHeight="false" outlineLevel="0" collapsed="false">
      <c r="A3" s="0" t="s">
        <v>227</v>
      </c>
      <c r="B3" s="0" t="s">
        <v>228</v>
      </c>
    </row>
    <row r="4" customFormat="false" ht="14.4" hidden="false" customHeight="false" outlineLevel="0" collapsed="false">
      <c r="A4" s="0" t="s">
        <v>229</v>
      </c>
      <c r="B4" s="0" t="s">
        <v>230</v>
      </c>
    </row>
    <row r="5" customFormat="false" ht="14.4" hidden="false" customHeight="false" outlineLevel="0" collapsed="false">
      <c r="A5" s="0" t="s">
        <v>225</v>
      </c>
      <c r="B5" s="0" t="s">
        <v>231</v>
      </c>
    </row>
    <row r="6" customFormat="false" ht="14.4" hidden="false" customHeight="false" outlineLevel="0" collapsed="false">
      <c r="A6" s="0" t="s">
        <v>232</v>
      </c>
      <c r="B6" s="0" t="s">
        <v>233</v>
      </c>
    </row>
    <row r="7" customFormat="false" ht="14.4" hidden="false" customHeight="false" outlineLevel="0" collapsed="false">
      <c r="A7" s="0" t="s">
        <v>234</v>
      </c>
      <c r="B7" s="0" t="s">
        <v>235</v>
      </c>
    </row>
    <row r="8" customFormat="false" ht="14.4" hidden="false" customHeight="false" outlineLevel="0" collapsed="false">
      <c r="B8" s="32" t="s">
        <v>236</v>
      </c>
    </row>
    <row r="9" customFormat="false" ht="14.4" hidden="false" customHeight="false" outlineLevel="0" collapsed="false">
      <c r="B9" s="0" t="s">
        <v>237</v>
      </c>
    </row>
    <row r="10" customFormat="false" ht="14.4" hidden="false" customHeight="false" outlineLevel="0" collapsed="false">
      <c r="B10" s="32" t="s">
        <v>238</v>
      </c>
    </row>
    <row r="11" customFormat="false" ht="14.4" hidden="false" customHeight="false" outlineLevel="0" collapsed="false">
      <c r="B11" s="0" t="s">
        <v>239</v>
      </c>
    </row>
    <row r="12" customFormat="false" ht="14.4" hidden="false" customHeight="false" outlineLevel="0" collapsed="false">
      <c r="B12" s="32" t="s">
        <v>240</v>
      </c>
    </row>
    <row r="13" customFormat="false" ht="14.4" hidden="false" customHeight="false" outlineLevel="0" collapsed="false">
      <c r="B13" s="0" t="s">
        <v>241</v>
      </c>
    </row>
    <row r="14" customFormat="false" ht="14.4" hidden="false" customHeight="false" outlineLevel="0" collapsed="false">
      <c r="B14" s="0" t="s">
        <v>242</v>
      </c>
    </row>
    <row r="15" customFormat="false" ht="14.4" hidden="false" customHeight="false" outlineLevel="0" collapsed="false">
      <c r="B15" s="0" t="s">
        <v>243</v>
      </c>
    </row>
    <row r="16" customFormat="false" ht="14.4" hidden="false" customHeight="false" outlineLevel="0" collapsed="false">
      <c r="B16" s="0" t="s">
        <v>244</v>
      </c>
    </row>
    <row r="17" customFormat="false" ht="14.4" hidden="false" customHeight="false" outlineLevel="0" collapsed="false">
      <c r="B17" s="0" t="s">
        <v>245</v>
      </c>
    </row>
    <row r="18" customFormat="false" ht="14.4" hidden="false" customHeight="false" outlineLevel="0" collapsed="false">
      <c r="B18" s="0" t="s">
        <v>246</v>
      </c>
    </row>
    <row r="19" customFormat="false" ht="14.4" hidden="false" customHeight="false" outlineLevel="0" collapsed="false">
      <c r="B19" s="0" t="s">
        <v>247</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 r:id="rId2"/>
  </tableParts>
</worksheet>
</file>

<file path=xl/worksheets/sheet6.xml><?xml version="1.0" encoding="utf-8"?>
<worksheet xmlns="http://schemas.openxmlformats.org/spreadsheetml/2006/main" xmlns:r="http://schemas.openxmlformats.org/officeDocument/2006/relationships">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U1" activeCellId="0" sqref="U1"/>
    </sheetView>
  </sheetViews>
  <sheetFormatPr defaultRowHeight="14.4" zeroHeight="false" outlineLevelRow="0" outlineLevelCol="0"/>
  <cols>
    <col collapsed="false" customWidth="true" hidden="false" outlineLevel="0" max="1025" min="1" style="0" width="8.78"/>
  </cols>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149</TotalTime>
  <Application>XLSX_Editor/6.2.8.2$Windows_x86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2023-12-05T19:03:00Z</dcterms:created>
  <dc:creator>John K Mah</dc:creator>
  <dc:description/>
  <dc:language>en-US</dc:language>
  <cp:lastModifiedBy/>
  <dcterms:modified xsi:type="dcterms:W3CDTF">2026-10-06T20:24:47Z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