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cuments\GitHub\ASEN_Aircraft_Design\MAIN\Input Excel Sheets\Trade Study Inputs\"/>
    </mc:Choice>
  </mc:AlternateContent>
  <xr:revisionPtr revIDLastSave="0" documentId="13_ncr:1_{B8F9B6F0-6D15-484A-9E09-23681B834739}" xr6:coauthVersionLast="47" xr6:coauthVersionMax="47" xr10:uidLastSave="{00000000-0000-0000-0000-000000000000}"/>
  <bookViews>
    <workbookView xWindow="-108" yWindow="-108" windowWidth="23256" windowHeight="12576" tabRatio="500" activeTab="1" xr2:uid="{00000000-000D-0000-FFFF-FFFF00000000}"/>
  </bookViews>
  <sheets>
    <sheet name="Variable Reference" sheetId="1" r:id="rId1"/>
    <sheet name="Main_Input" sheetId="2" r:id="rId2"/>
    <sheet name="Airfoil_Data" sheetId="3" r:id="rId3"/>
    <sheet name="Propulsion" sheetId="4" r:id="rId4"/>
    <sheet name="Lists" sheetId="5" r:id="rId5"/>
    <sheet name="Geometry Reference" sheetId="6" r:id="rId6"/>
  </sheets>
  <definedNames>
    <definedName name="MATERIALS" localSheetId="0">#REF!</definedName>
    <definedName name="MATERIA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1" i="2" l="1"/>
  <c r="R8" i="2" l="1"/>
  <c r="S8" i="2" s="1"/>
  <c r="S11" i="2"/>
  <c r="R10" i="2"/>
  <c r="S10" i="2" s="1"/>
  <c r="R9" i="2"/>
  <c r="S9" i="2" s="1"/>
  <c r="R7" i="2"/>
  <c r="S7" i="2" s="1"/>
  <c r="R6" i="2"/>
  <c r="S6" i="2" s="1"/>
  <c r="R5" i="2"/>
  <c r="S5" i="2" s="1"/>
  <c r="R4" i="2"/>
  <c r="S4" i="2" s="1"/>
  <c r="R3" i="2"/>
  <c r="S3" i="2" s="1"/>
  <c r="R2" i="2"/>
  <c r="S2" i="2" s="1"/>
  <c r="F3" i="2"/>
  <c r="H3" i="2" s="1"/>
  <c r="F4" i="2"/>
  <c r="K4" i="2" s="1"/>
  <c r="F5" i="2"/>
  <c r="K5" i="2" s="1"/>
  <c r="F6" i="2"/>
  <c r="K6" i="2" s="1"/>
  <c r="F7" i="2"/>
  <c r="H7" i="2" s="1"/>
  <c r="F8" i="2"/>
  <c r="H8" i="2" s="1"/>
  <c r="F9" i="2"/>
  <c r="K9" i="2" s="1"/>
  <c r="F10" i="2"/>
  <c r="H10" i="2" s="1"/>
  <c r="F11" i="2"/>
  <c r="H11" i="2" s="1"/>
  <c r="F2" i="2"/>
  <c r="H2" i="2" s="1"/>
  <c r="AI3" i="2"/>
  <c r="AN3" i="2" s="1"/>
  <c r="AI4" i="2"/>
  <c r="AJ4" i="2" s="1"/>
  <c r="AI5" i="2"/>
  <c r="AJ5" i="2" s="1"/>
  <c r="AI6" i="2"/>
  <c r="AN6" i="2" s="1"/>
  <c r="AI7" i="2"/>
  <c r="AN7" i="2" s="1"/>
  <c r="AI8" i="2"/>
  <c r="AJ8" i="2" s="1"/>
  <c r="AI9" i="2"/>
  <c r="AN9" i="2" s="1"/>
  <c r="AI10" i="2"/>
  <c r="AN10" i="2" s="1"/>
  <c r="AI11" i="2"/>
  <c r="AJ11" i="2" s="1"/>
  <c r="AI2" i="2"/>
  <c r="AJ2" i="2" s="1"/>
  <c r="A2" i="4"/>
  <c r="O11" i="2"/>
  <c r="O10" i="2"/>
  <c r="O9" i="2"/>
  <c r="O8" i="2"/>
  <c r="O7" i="2"/>
  <c r="O6" i="2"/>
  <c r="O5" i="2"/>
  <c r="O4" i="2"/>
  <c r="O3" i="2"/>
  <c r="O2" i="2"/>
  <c r="A4" i="4"/>
  <c r="A5" i="4"/>
  <c r="A6" i="4"/>
  <c r="A7" i="4"/>
  <c r="A8" i="4"/>
  <c r="A9" i="4"/>
  <c r="A10" i="4"/>
  <c r="A11" i="4"/>
  <c r="A8" i="3"/>
  <c r="A9" i="3"/>
  <c r="A10" i="3"/>
  <c r="A11" i="3"/>
  <c r="A4" i="3"/>
  <c r="A5" i="3"/>
  <c r="A6" i="3"/>
  <c r="A7" i="3"/>
  <c r="A3" i="4"/>
  <c r="A3" i="3"/>
  <c r="A2" i="3"/>
  <c r="H5" i="2" l="1"/>
  <c r="H6" i="2"/>
  <c r="AJ6" i="2"/>
  <c r="AJ10" i="2"/>
  <c r="H9" i="2"/>
  <c r="AN4" i="2"/>
  <c r="H4" i="2"/>
  <c r="K2" i="2"/>
  <c r="K3" i="2"/>
  <c r="AJ3" i="2"/>
  <c r="K8" i="2"/>
  <c r="AN11" i="2"/>
  <c r="K11" i="2"/>
  <c r="K10" i="2"/>
  <c r="AJ9" i="2"/>
  <c r="K7" i="2"/>
  <c r="AJ7" i="2"/>
  <c r="AN5" i="2"/>
  <c r="AN8" i="2"/>
  <c r="AN2" i="2"/>
  <c r="W19" i="3"/>
  <c r="G19" i="3"/>
  <c r="F19" i="3"/>
  <c r="E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E1" authorId="0" shapeId="0" xr:uid="{00000000-0006-0000-0300-000002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F1" authorId="0" shapeId="0" xr:uid="{00000000-0006-0000-0300-000003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G1" authorId="0" shapeId="0" xr:uid="{00000000-0006-0000-0300-000004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H1" authorId="0" shapeId="0" xr:uid="{00000000-0006-0000-0300-000005000000}">
      <text>
        <r>
          <rPr>
            <b/>
            <sz val="9"/>
            <color rgb="FF000000"/>
            <rFont val="Tahoma"/>
            <family val="2"/>
            <charset val="1"/>
          </rPr>
          <t xml:space="preserve">John Mah:
</t>
        </r>
        <r>
          <rPr>
            <sz val="9"/>
            <color rgb="FF000000"/>
            <rFont val="Tahoma"/>
            <family val="2"/>
            <charset val="1"/>
          </rPr>
          <t>Value from 0 to 1 representing percent loss (i.e. 20% = 0.2)</t>
        </r>
      </text>
    </comment>
    <comment ref="I1" authorId="0" shapeId="0" xr:uid="{00000000-0006-0000-0300-000006000000}">
      <text>
        <r>
          <rPr>
            <b/>
            <sz val="9"/>
            <color rgb="FF000000"/>
            <rFont val="Tahoma"/>
            <family val="2"/>
            <charset val="1"/>
          </rPr>
          <t xml:space="preserve">John Mah:
</t>
        </r>
        <r>
          <rPr>
            <sz val="9"/>
            <color rgb="FF000000"/>
            <rFont val="Tahoma"/>
            <family val="2"/>
            <charset val="1"/>
          </rPr>
          <t xml:space="preserve">Units: horsepower (hp)
Only input if prop, otherwise set to "0"
</t>
        </r>
      </text>
    </comment>
    <comment ref="J1" authorId="0" shapeId="0" xr:uid="{00000000-0006-0000-0300-000007000000}">
      <text>
        <r>
          <rPr>
            <b/>
            <sz val="9"/>
            <color rgb="FF000000"/>
            <rFont val="Tahoma"/>
            <family val="2"/>
            <charset val="1"/>
          </rPr>
          <t xml:space="preserve">John Mah:
</t>
        </r>
        <r>
          <rPr>
            <sz val="9"/>
            <color rgb="FF000000"/>
            <rFont val="Tahoma"/>
            <family val="2"/>
            <charset val="1"/>
          </rPr>
          <t xml:space="preserve">Units of lb/hr/hp
</t>
        </r>
      </text>
    </comment>
    <comment ref="K1" authorId="0" shapeId="0" xr:uid="{00000000-0006-0000-0300-000008000000}">
      <text>
        <r>
          <rPr>
            <b/>
            <sz val="9"/>
            <color rgb="FF000000"/>
            <rFont val="Tahoma"/>
            <family val="2"/>
            <charset val="1"/>
          </rPr>
          <t xml:space="preserve">John Mah:
</t>
        </r>
        <r>
          <rPr>
            <sz val="9"/>
            <color rgb="FF000000"/>
            <rFont val="Tahoma"/>
            <family val="2"/>
            <charset val="1"/>
          </rPr>
          <t>Value from 0 to 1 representing percent propeller efficiency (i.e. 70% = 0.7)</t>
        </r>
      </text>
    </comment>
  </commentList>
</comments>
</file>

<file path=xl/sharedStrings.xml><?xml version="1.0" encoding="utf-8"?>
<sst xmlns="http://schemas.openxmlformats.org/spreadsheetml/2006/main" count="473" uniqueCount="248">
  <si>
    <t>Worksheet</t>
  </si>
  <si>
    <t>Variable Name</t>
  </si>
  <si>
    <t>Units</t>
  </si>
  <si>
    <t>Description</t>
  </si>
  <si>
    <t>Main_Input</t>
  </si>
  <si>
    <t>N/A</t>
  </si>
  <si>
    <t>User defined configuration number label.  Used to differentiate different designs or trade study variations in designs.</t>
  </si>
  <si>
    <t>Aircraft Type. Used for calculating empty weight fraction based on models from Raymer Table 6.1 &amp; 6.2.</t>
  </si>
  <si>
    <t>ft</t>
  </si>
  <si>
    <t>Design altitude.  Utilized to find standard atmosphere properties in model via the atmos function.  Value is typically left at sea level for conceptual design, but can be selected to represent the most prevalent or important mission altitude expected.</t>
  </si>
  <si>
    <t>Estimate of designed Mach. Used to calculate Reynolds number for model analysis of skin friction drag.  Value should be selected to represent the most prevalent or important mission mach expected.</t>
  </si>
  <si>
    <t>Max mach for design.</t>
  </si>
  <si>
    <t>Length of fuselage.</t>
  </si>
  <si>
    <t>Maxium diameter of fuselage.</t>
  </si>
  <si>
    <t>Fuselage fineness ratio.  Determined by dividing fuselage length by fuselage diameter.</t>
  </si>
  <si>
    <t>ft^2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</si>
  <si>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</si>
  <si>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</si>
  <si>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</si>
  <si>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</si>
  <si>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Emperical Wave Drag Factor.  Example valuse:  1 = Ideal Sears-Haack Body, Typcial range for supersonic aircraft is 1.8 - 2.2 for clean, smoothly blended contoured design, 2.5 - 3 = Bumpy volume distribution.  An F-15 has an EWD around 2.9.</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</si>
  <si>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</si>
  <si>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</si>
  <si>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</si>
  <si>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</si>
  <si>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</si>
  <si>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</si>
  <si>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</si>
  <si>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</si>
  <si>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</si>
  <si>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</si>
  <si>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</si>
  <si>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</si>
  <si>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</si>
  <si>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</si>
  <si>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</si>
  <si>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</si>
  <si>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</si>
  <si>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</si>
  <si>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</si>
  <si>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</si>
  <si>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</si>
  <si>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</si>
  <si>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</si>
  <si>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</si>
  <si>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</si>
  <si>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</si>
  <si>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</si>
  <si>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</si>
  <si>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</si>
  <si>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</si>
  <si>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</si>
  <si>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</si>
  <si>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</si>
  <si>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</si>
  <si>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</si>
  <si>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</si>
  <si>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</si>
  <si>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</si>
  <si>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</si>
  <si>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</si>
  <si>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</si>
  <si>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</si>
  <si>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</si>
  <si>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</si>
  <si>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</si>
  <si>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</si>
  <si>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</si>
  <si>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</si>
  <si>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</si>
  <si>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</si>
  <si>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</si>
  <si>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</si>
  <si>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</si>
  <si>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</si>
  <si>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</si>
  <si>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</si>
  <si>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</si>
  <si>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</si>
  <si>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</si>
  <si>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</si>
  <si>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</si>
  <si>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</si>
  <si>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</si>
  <si>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</si>
  <si>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</si>
  <si>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</si>
  <si>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</si>
  <si>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</si>
  <si>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</si>
  <si>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</si>
  <si>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</si>
  <si>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</si>
  <si>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</si>
  <si>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</si>
  <si>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</si>
  <si>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</si>
  <si>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Type of propulsion utilized.  Pull down menu w/ limited options:  PROP_Fuel, PROP_Electric, JET_HBP_Turbofan,JET_LBP_Turbofan</t>
  </si>
  <si>
    <t>Number of engines / propulsion systems on aircraft.</t>
  </si>
  <si>
    <t>lb</t>
  </si>
  <si>
    <t>Static sea level uninstalled thrust without afterburner for a jet engine.  If using a prop driven aircraft, set to zero.</t>
  </si>
  <si>
    <t>(lb/hr/lb)</t>
  </si>
  <si>
    <t>Thrust specific fuel consupmtion without afterburner for a jet engine. If using a prop driven aircraft, set to zero.</t>
  </si>
  <si>
    <t>Static sea level uninstalled thrust with afterburner for a jet engine.  If using a prop driven aircraft or jet engine without afterburner, set to zero.</t>
  </si>
  <si>
    <t>Thrust specific fuel consupmtion with afterburner for a jet engine. If using a prop driven aircraft or a jet engine without afterburner, set to zero.</t>
  </si>
  <si>
    <t>Installation losses for a jet engine.  Typically 20% = 0.2.</t>
  </si>
  <si>
    <t>hp</t>
  </si>
  <si>
    <t>Shaft or brake horsepower of engine driving a prop at sea level.  If using a jet engine, set to zero.</t>
  </si>
  <si>
    <t>(lb/hr/hp)</t>
  </si>
  <si>
    <t>Specific Fuel Consumption for prop engine.  If using a jet engine, set to zero.</t>
  </si>
  <si>
    <t>Propellor efficiency.</t>
  </si>
  <si>
    <t>ACType</t>
  </si>
  <si>
    <t>altitude_o</t>
  </si>
  <si>
    <t>M_o</t>
  </si>
  <si>
    <t>M_max</t>
  </si>
  <si>
    <t>Length_f</t>
  </si>
  <si>
    <t>Dia_f</t>
  </si>
  <si>
    <t>Fine_f</t>
  </si>
  <si>
    <t>Amax_f</t>
  </si>
  <si>
    <t>Abase_f</t>
  </si>
  <si>
    <t>Swet_f</t>
  </si>
  <si>
    <t>Q_f</t>
  </si>
  <si>
    <t>EWD</t>
  </si>
  <si>
    <t>Sref_w</t>
  </si>
  <si>
    <t>Swet_w</t>
  </si>
  <si>
    <t>AR_w</t>
  </si>
  <si>
    <t>Taper_w</t>
  </si>
  <si>
    <t>Sweep_w</t>
  </si>
  <si>
    <t>QuarterSweep_w</t>
  </si>
  <si>
    <t>Q_w</t>
  </si>
  <si>
    <t>Sref-h1</t>
  </si>
  <si>
    <t>Swet_h1</t>
  </si>
  <si>
    <t>AR_h1</t>
  </si>
  <si>
    <t>Taper_h1</t>
  </si>
  <si>
    <t>Sweep_h1</t>
  </si>
  <si>
    <t>MAC_h1</t>
  </si>
  <si>
    <t>Q_h1</t>
  </si>
  <si>
    <t>Sref-h2</t>
  </si>
  <si>
    <t>Swet_h2</t>
  </si>
  <si>
    <t>AR_h2</t>
  </si>
  <si>
    <t>Taper_h2</t>
  </si>
  <si>
    <t>Sweep_h2</t>
  </si>
  <si>
    <t>MAC_h2</t>
  </si>
  <si>
    <t>Q_h2</t>
  </si>
  <si>
    <t>Sref-v1</t>
  </si>
  <si>
    <t>Swet_v1</t>
  </si>
  <si>
    <t>AR_v1</t>
  </si>
  <si>
    <t>Taper_v1</t>
  </si>
  <si>
    <t>Sweep_v1</t>
  </si>
  <si>
    <t>MAC_v1</t>
  </si>
  <si>
    <t>Q_v1</t>
  </si>
  <si>
    <t>Sref-v2</t>
  </si>
  <si>
    <t>Swet_v2</t>
  </si>
  <si>
    <t>AR_v2</t>
  </si>
  <si>
    <t>Taper_v2</t>
  </si>
  <si>
    <t>Sweep_v2</t>
  </si>
  <si>
    <t>MAC_v2</t>
  </si>
  <si>
    <t>Q_v2</t>
  </si>
  <si>
    <t>Jet_Fighter</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</si>
  <si>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</si>
  <si>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</si>
  <si>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</si>
  <si>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</si>
  <si>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</si>
  <si>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</si>
  <si>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</si>
  <si>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</si>
  <si>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</si>
  <si>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</si>
  <si>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</si>
  <si>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</si>
  <si>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</si>
  <si>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</si>
  <si>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</si>
  <si>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</si>
  <si>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</si>
  <si>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</si>
  <si>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</si>
  <si>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</si>
  <si>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</si>
  <si>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</si>
  <si>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</si>
  <si>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</si>
  <si>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</si>
  <si>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</si>
  <si>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</si>
  <si>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</si>
  <si>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</si>
  <si>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</si>
  <si>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</si>
  <si>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</si>
  <si>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</si>
  <si>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</si>
  <si>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</si>
  <si>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</si>
  <si>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NACA2412</t>
  </si>
  <si>
    <t>NACA0004</t>
  </si>
  <si>
    <t>PropType</t>
  </si>
  <si>
    <t>Number</t>
  </si>
  <si>
    <t>TA_mil_sl</t>
  </si>
  <si>
    <t>TSFC_mil_sl</t>
  </si>
  <si>
    <t>TA_AB_sl</t>
  </si>
  <si>
    <t>TSFC_AB_sl</t>
  </si>
  <si>
    <t>Install_loss</t>
  </si>
  <si>
    <t>PA_shp_sl</t>
  </si>
  <si>
    <t>SFC_sl</t>
  </si>
  <si>
    <t>Prop_eff</t>
  </si>
  <si>
    <t>Prop_Dia</t>
  </si>
  <si>
    <t>Esb_ideal</t>
  </si>
  <si>
    <t>install_loss</t>
  </si>
  <si>
    <t>capacity_loss</t>
  </si>
  <si>
    <t>lifetime_loss</t>
  </si>
  <si>
    <t>Esb_Real</t>
  </si>
  <si>
    <t>eta_b2s</t>
  </si>
  <si>
    <t>JET_LBP_Turbofan</t>
  </si>
  <si>
    <t>PROP_Fuel</t>
  </si>
  <si>
    <t>PROP_Electric</t>
  </si>
  <si>
    <t>Jet_Trainer</t>
  </si>
  <si>
    <t>JET_HBP_Turbofan</t>
  </si>
  <si>
    <t>Jet_Transport</t>
  </si>
  <si>
    <t>Military_Cargo/Bomber</t>
  </si>
  <si>
    <t>PROP_Turboprop</t>
  </si>
  <si>
    <t>Business_Jet</t>
  </si>
  <si>
    <t>PROP_Turbocharged</t>
  </si>
  <si>
    <t>UAV_Jet</t>
  </si>
  <si>
    <t>GA_Metal_Single</t>
  </si>
  <si>
    <t>GA_Metal_Twin</t>
  </si>
  <si>
    <t>GA_Composite</t>
  </si>
  <si>
    <t>Homebuilt_Metal/wood_Prop</t>
  </si>
  <si>
    <t>Homebuilt_Composite_Prop</t>
  </si>
  <si>
    <t>Turboprop_Transport</t>
  </si>
  <si>
    <t>Sailplane_Unpowered</t>
  </si>
  <si>
    <t>Sailplane_Powered</t>
  </si>
  <si>
    <t>Ag_Aircraft_Prop</t>
  </si>
  <si>
    <t>Aerobatic_Prop</t>
  </si>
  <si>
    <t>Flying_Boat_Prop</t>
  </si>
  <si>
    <t>UAV_Prop</t>
  </si>
  <si>
    <t>NACA24112</t>
  </si>
  <si>
    <t>JetSubmersible_FW1.1</t>
  </si>
  <si>
    <t>JetSubmersible_FW1.2</t>
  </si>
  <si>
    <t>JetSubmersible_FW1.3</t>
  </si>
  <si>
    <t>JetSubmersible_FW1.4</t>
  </si>
  <si>
    <t>JetSubmersible_FW1.5</t>
  </si>
  <si>
    <t>JetSubmersible_FW2.1</t>
  </si>
  <si>
    <t>JetSubmersible_FW2.2</t>
  </si>
  <si>
    <t>JetSubmersible_FW2.3</t>
  </si>
  <si>
    <t>JetSubmersible_FW2.4</t>
  </si>
  <si>
    <t>JetSubmersible_FW2.5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</si>
</sst>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1"/>
      <color rgb="FF000000"/>
      <name val="Calibri"/>
      <family val="2"/>
      <charset val="1"/>
    </font>
    <font>
      <b/>
      <sz val="11"/>
      <color rgb="FF000000"/>
      <name val="Calibri"/>
      <family val="2"/>
      <charset val="1"/>
    </font>
    <font>
      <sz val="10"/>
      <color rgb="FF000000"/>
      <name val="Arial Unicode MS"/>
      <family val="2"/>
      <charset val="1"/>
    </font>
    <font>
      <b/>
      <sz val="9"/>
      <color rgb="FF000000"/>
      <name val="Tahoma"/>
      <family val="2"/>
      <charset val="1"/>
    </font>
    <font>
      <sz val="9"/>
      <color rgb="FF000000"/>
      <name val="Tahoma"/>
      <family val="2"/>
      <charset val="1"/>
    </font>
  </fonts>
  <fills count="14">
    <fill>
      <patternFill patternType="none"/>
    </fill>
    <fill>
      <patternFill patternType="gray125"/>
    </fill>
    <fill>
      <patternFill patternType="solid">
        <fgColor rgb="FF9DC3E6"/>
        <bgColor rgb="FF8FAADC"/>
      </patternFill>
    </fill>
    <fill>
      <patternFill patternType="solid">
        <fgColor rgb="FF000000"/>
        <bgColor rgb="FF003300"/>
      </patternFill>
    </fill>
    <fill>
      <patternFill patternType="solid">
        <fgColor rgb="FFD6DCE5"/>
        <bgColor rgb="FFDAE3F3"/>
      </patternFill>
    </fill>
    <fill>
      <patternFill patternType="solid">
        <fgColor rgb="FF8FAADC"/>
        <bgColor rgb="FF9DC3E6"/>
      </patternFill>
    </fill>
    <fill>
      <patternFill patternType="solid">
        <fgColor rgb="FFFBE5D6"/>
        <bgColor rgb="FFFFE699"/>
      </patternFill>
    </fill>
    <fill>
      <patternFill patternType="solid">
        <fgColor rgb="FFFFE699"/>
        <bgColor rgb="FFFBE5D6"/>
      </patternFill>
    </fill>
    <fill>
      <patternFill patternType="solid">
        <fgColor rgb="FFF4B183"/>
        <bgColor rgb="FFFF99CC"/>
      </patternFill>
    </fill>
    <fill>
      <patternFill patternType="solid">
        <fgColor rgb="FFC5E0B4"/>
        <bgColor rgb="FFD6DCE5"/>
      </patternFill>
    </fill>
    <fill>
      <patternFill patternType="solid">
        <fgColor rgb="FF5B9BD5"/>
        <bgColor rgb="FF8FAADC"/>
      </patternFill>
    </fill>
    <fill>
      <patternFill patternType="solid">
        <fgColor rgb="FFFFC000"/>
        <bgColor rgb="FFFF9900"/>
      </patternFill>
    </fill>
    <fill>
      <patternFill patternType="solid">
        <fgColor rgb="FF92D050"/>
        <bgColor rgb="FFC5E0B4"/>
      </patternFill>
    </fill>
    <fill>
      <patternFill patternType="solid">
        <fgColor rgb="FFDAE3F3"/>
        <b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1" xfId="0" applyFont="1" applyBorder="1" applyAlignment="1">
      <alignment horizontal="left" vertic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BE5D6"/>
      <rgbColor rgb="FFDAE3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4B183"/>
      <rgbColor rgb="FF3366FF"/>
      <rgbColor rgb="FF33CCCC"/>
      <rgbColor rgb="FF92D050"/>
      <rgbColor rgb="FFFFC000"/>
      <rgbColor rgb="FFFF9900"/>
      <rgbColor rgb="FFFF6600"/>
      <rgbColor rgb="FF666699"/>
      <rgbColor rgb="FF5B9BD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41</xdr:row>
      <xdr:rowOff>121920</xdr:rowOff>
    </xdr:to>
    <xdr:sp macro="" textlink="">
      <xdr:nvSpPr>
        <xdr:cNvPr id="1040" name="_x0000_t202" hidden="1">
          <a:extLst>
            <a:ext uri="{FF2B5EF4-FFF2-40B4-BE49-F238E27FC236}">
              <a16:creationId xmlns:a16="http://schemas.microsoft.com/office/drawing/2014/main" id="{90782861-53C9-491A-F703-BF46D3377B2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8" name="_x0000_t202" hidden="1">
          <a:extLst>
            <a:ext uri="{FF2B5EF4-FFF2-40B4-BE49-F238E27FC236}">
              <a16:creationId xmlns:a16="http://schemas.microsoft.com/office/drawing/2014/main" id="{82E73316-96CE-2233-7E2A-2D6E5030BD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6" name="_x0000_t202" hidden="1">
          <a:extLst>
            <a:ext uri="{FF2B5EF4-FFF2-40B4-BE49-F238E27FC236}">
              <a16:creationId xmlns:a16="http://schemas.microsoft.com/office/drawing/2014/main" id="{55DBCBBD-0327-BB76-069F-E73A29C18A2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4" name="_x0000_t202" hidden="1">
          <a:extLst>
            <a:ext uri="{FF2B5EF4-FFF2-40B4-BE49-F238E27FC236}">
              <a16:creationId xmlns:a16="http://schemas.microsoft.com/office/drawing/2014/main" id="{7807232F-34B8-86B9-6218-915B5EBB36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2" name="_x0000_t202" hidden="1">
          <a:extLst>
            <a:ext uri="{FF2B5EF4-FFF2-40B4-BE49-F238E27FC236}">
              <a16:creationId xmlns:a16="http://schemas.microsoft.com/office/drawing/2014/main" id="{5F210585-2C3E-B06D-999A-D027969725E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0" name="_x0000_t202" hidden="1">
          <a:extLst>
            <a:ext uri="{FF2B5EF4-FFF2-40B4-BE49-F238E27FC236}">
              <a16:creationId xmlns:a16="http://schemas.microsoft.com/office/drawing/2014/main" id="{8FE46B8F-C8AA-90A7-BBE9-05D419A0436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8" name="_x0000_t202" hidden="1">
          <a:extLst>
            <a:ext uri="{FF2B5EF4-FFF2-40B4-BE49-F238E27FC236}">
              <a16:creationId xmlns:a16="http://schemas.microsoft.com/office/drawing/2014/main" id="{79151B1E-DB66-2DBB-2DE0-1458D38EDF4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6" name="_x0000_t202" hidden="1">
          <a:extLst>
            <a:ext uri="{FF2B5EF4-FFF2-40B4-BE49-F238E27FC236}">
              <a16:creationId xmlns:a16="http://schemas.microsoft.com/office/drawing/2014/main" id="{495DDC72-9DD9-56B7-F343-94BDC31A11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2" name="AutoShape 16">
          <a:extLst>
            <a:ext uri="{FF2B5EF4-FFF2-40B4-BE49-F238E27FC236}">
              <a16:creationId xmlns:a16="http://schemas.microsoft.com/office/drawing/2014/main" id="{52EAF356-82AB-0009-C504-795DBE4408B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3" name="AutoShape 14">
          <a:extLst>
            <a:ext uri="{FF2B5EF4-FFF2-40B4-BE49-F238E27FC236}">
              <a16:creationId xmlns:a16="http://schemas.microsoft.com/office/drawing/2014/main" id="{DE91B4DD-0197-A38F-E106-8070E66C3B8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4" name="AutoShape 12">
          <a:extLst>
            <a:ext uri="{FF2B5EF4-FFF2-40B4-BE49-F238E27FC236}">
              <a16:creationId xmlns:a16="http://schemas.microsoft.com/office/drawing/2014/main" id="{49E10D53-FC5F-45B9-0660-8D260ADCECA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5" name="AutoShape 10">
          <a:extLst>
            <a:ext uri="{FF2B5EF4-FFF2-40B4-BE49-F238E27FC236}">
              <a16:creationId xmlns:a16="http://schemas.microsoft.com/office/drawing/2014/main" id="{8C8B6CCA-6DAF-9FAA-5C34-689C93B142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6" name="AutoShape 8">
          <a:extLst>
            <a:ext uri="{FF2B5EF4-FFF2-40B4-BE49-F238E27FC236}">
              <a16:creationId xmlns:a16="http://schemas.microsoft.com/office/drawing/2014/main" id="{9E3C0663-0C61-E9A9-926E-0C2A8C0B8D7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7" name="AutoShape 6">
          <a:extLst>
            <a:ext uri="{FF2B5EF4-FFF2-40B4-BE49-F238E27FC236}">
              <a16:creationId xmlns:a16="http://schemas.microsoft.com/office/drawing/2014/main" id="{EF0A6B61-A278-9BA8-F42B-E1EB187866E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8" name="AutoShape 4">
          <a:extLst>
            <a:ext uri="{FF2B5EF4-FFF2-40B4-BE49-F238E27FC236}">
              <a16:creationId xmlns:a16="http://schemas.microsoft.com/office/drawing/2014/main" id="{99822206-CF6D-816B-0B6F-3586AF4981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9" name="AutoShape 2">
          <a:extLst>
            <a:ext uri="{FF2B5EF4-FFF2-40B4-BE49-F238E27FC236}">
              <a16:creationId xmlns:a16="http://schemas.microsoft.com/office/drawing/2014/main" id="{14497F28-4C4D-3DCF-613A-88DC7F989D9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243360</xdr:colOff>
      <xdr:row>36</xdr:row>
      <xdr:rowOff>68400</xdr:rowOff>
    </xdr:to>
    <xdr:pic>
      <xdr:nvPicPr>
        <xdr:cNvPr id="2" name="Graphic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0" y="0"/>
          <a:ext cx="12006720" cy="6652080"/>
        </a:xfrm>
        <a:prstGeom prst="rect">
          <a:avLst/>
        </a:prstGeom>
        <a:ln>
          <a:noFill/>
        </a:ln>
      </xdr:spPr>
    </xdr:pic>
    <xdr:clientData/>
  </xdr:twoCellAnchor>
  <xdr:twoCellAnchor editAs="oneCell">
    <xdr:from>
      <xdr:col>0</xdr:col>
      <xdr:colOff>0</xdr:colOff>
      <xdr:row>74</xdr:row>
      <xdr:rowOff>0</xdr:rowOff>
    </xdr:from>
    <xdr:to>
      <xdr:col>19</xdr:col>
      <xdr:colOff>213120</xdr:colOff>
      <xdr:row>110</xdr:row>
      <xdr:rowOff>51120</xdr:rowOff>
    </xdr:to>
    <xdr:pic>
      <xdr:nvPicPr>
        <xdr:cNvPr id="3" name="Graphic 3">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0" y="13533120"/>
          <a:ext cx="11976480" cy="6634800"/>
        </a:xfrm>
        <a:prstGeom prst="rect">
          <a:avLst/>
        </a:prstGeom>
        <a:ln>
          <a:noFill/>
        </a:ln>
      </xdr:spPr>
    </xdr:pic>
    <xdr:clientData/>
  </xdr:twoCellAnchor>
  <xdr:twoCellAnchor editAs="oneCell">
    <xdr:from>
      <xdr:col>0</xdr:col>
      <xdr:colOff>28440</xdr:colOff>
      <xdr:row>36</xdr:row>
      <xdr:rowOff>162000</xdr:rowOff>
    </xdr:from>
    <xdr:to>
      <xdr:col>19</xdr:col>
      <xdr:colOff>219960</xdr:colOff>
      <xdr:row>73</xdr:row>
      <xdr:rowOff>720</xdr:rowOff>
    </xdr:to>
    <xdr:pic>
      <xdr:nvPicPr>
        <xdr:cNvPr id="4" name="Graphic 4">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28440" y="6745680"/>
          <a:ext cx="11954880" cy="660528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totalsRowShown="0">
  <autoFilter ref="A1:A7" xr:uid="{00000000-0009-0000-0100-000001000000}"/>
  <tableColumns count="1">
    <tableColumn id="1" xr3:uid="{00000000-0010-0000-0000-000001000000}" name="Prop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totalsRowShown="0">
  <autoFilter ref="B1:B19" xr:uid="{00000000-0009-0000-0100-000002000000}"/>
  <tableColumns count="1">
    <tableColumn id="1" xr3:uid="{00000000-0010-0000-0100-000001000000}" name="AC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opLeftCell="A46" zoomScale="125" zoomScaleNormal="125" workbookViewId="0">
      <selection activeCell="B84" sqref="B84"/>
    </sheetView>
  </sheetViews>
  <sheetFormatPr defaultRowHeight="14.4"/>
  <cols>
    <col min="1" max="1" width="16.109375" customWidth="1"/>
    <col min="2" max="2" width="13.77734375" customWidth="1"/>
    <col min="3" max="3" width="11.33203125" style="1" customWidth="1"/>
    <col min="4" max="4" width="104.44140625" style="2" customWidth="1"/>
    <col min="5" max="1025" width="8.77734375" customWidth="1"/>
  </cols>
  <sheetData>
    <row r="1" spans="1:4">
      <c r="A1" s="3" t="s">
        <v>0</v>
      </c>
      <c r="B1" s="4" t="s">
        <v>1</v>
      </c>
      <c r="C1" s="4" t="s">
        <v>2</v>
      </c>
      <c r="D1" s="5" t="s">
        <v>3</v>
      </c>
    </row>
    <row r="2" spans="1:4">
      <c r="A2" s="6" t="s">
        <v>4</v>
      </c>
      <c r="B2" s="6" t="e">
        <v>#REF!</v>
      </c>
      <c r="C2" s="7" t="s">
        <v>5</v>
      </c>
      <c r="D2" s="8" t="s">
        <v>6</v>
      </c>
    </row>
    <row r="3" spans="1:4">
      <c r="A3" s="6" t="s">
        <v>4</v>
      </c>
      <c r="B3" s="6" t="e">
        <v>#REF!</v>
      </c>
      <c r="C3" s="7" t="s">
        <v>5</v>
      </c>
      <c r="D3" s="2" t="s">
        <v>7</v>
      </c>
    </row>
    <row r="4" spans="1:4" ht="28.8">
      <c r="A4" s="6" t="s">
        <v>4</v>
      </c>
      <c r="B4" s="6" t="e">
        <v>#REF!</v>
      </c>
      <c r="C4" s="7" t="s">
        <v>8</v>
      </c>
      <c r="D4" s="8" t="s">
        <v>9</v>
      </c>
    </row>
    <row r="5" spans="1:4" ht="28.8">
      <c r="A5" s="6" t="s">
        <v>4</v>
      </c>
      <c r="B5" s="6" t="e">
        <v>#REF!</v>
      </c>
      <c r="C5" s="7" t="s">
        <v>5</v>
      </c>
      <c r="D5" s="8" t="s">
        <v>10</v>
      </c>
    </row>
    <row r="6" spans="1:4">
      <c r="A6" s="6" t="s">
        <v>4</v>
      </c>
      <c r="B6" s="6" t="e">
        <v>#REF!</v>
      </c>
      <c r="C6" s="7" t="s">
        <v>5</v>
      </c>
      <c r="D6" s="8" t="s">
        <v>11</v>
      </c>
    </row>
    <row r="7" spans="1:4">
      <c r="A7" s="6" t="s">
        <v>4</v>
      </c>
      <c r="B7" s="6" t="e">
        <v>#REF!</v>
      </c>
      <c r="C7" s="7" t="s">
        <v>8</v>
      </c>
      <c r="D7" s="8" t="s">
        <v>12</v>
      </c>
    </row>
    <row r="8" spans="1:4">
      <c r="A8" s="6" t="s">
        <v>4</v>
      </c>
      <c r="B8" s="6" t="e">
        <v>#REF!</v>
      </c>
      <c r="C8" s="7" t="s">
        <v>8</v>
      </c>
      <c r="D8" s="8" t="s">
        <v>13</v>
      </c>
    </row>
    <row r="9" spans="1:4">
      <c r="A9" s="6" t="s">
        <v>4</v>
      </c>
      <c r="B9" s="6" t="e">
        <v>#REF!</v>
      </c>
      <c r="C9" s="7" t="s">
        <v>5</v>
      </c>
      <c r="D9" s="8" t="s">
        <v>14</v>
      </c>
    </row>
    <row r="10" spans="1:4">
      <c r="A10" s="6" t="s">
        <v>4</v>
      </c>
      <c r="B10" s="6" t="e">
        <v>#REF!</v>
      </c>
      <c r="C10" s="7" t="s">
        <v>15</v>
      </c>
      <c r="D10" s="8" t="s">
        <v>16</v>
      </c>
    </row>
    <row r="11" spans="1:4" ht="28.8">
      <c r="A11" s="6" t="s">
        <v>4</v>
      </c>
      <c r="B11" s="6" t="e">
        <v>#REF!</v>
      </c>
      <c r="C11" s="7" t="s">
        <v>15</v>
      </c>
      <c r="D11" s="8" t="s">
        <v>17</v>
      </c>
    </row>
    <row r="12" spans="1:4">
      <c r="A12" s="6" t="s">
        <v>4</v>
      </c>
      <c r="B12" s="6" t="e">
        <v>#REF!</v>
      </c>
      <c r="C12" s="7" t="s">
        <v>15</v>
      </c>
      <c r="D12" s="8" t="s">
        <v>18</v>
      </c>
    </row>
    <row r="13" spans="1:4" ht="28.8">
      <c r="A13" s="6" t="s">
        <v>4</v>
      </c>
      <c r="B13" s="6" t="e">
        <v>#REF!</v>
      </c>
      <c r="C13" s="7" t="s">
        <v>5</v>
      </c>
      <c r="D13" s="8" t="s">
        <v>19</v>
      </c>
    </row>
    <row r="14" spans="1:4" ht="28.8">
      <c r="A14" s="6" t="s">
        <v>4</v>
      </c>
      <c r="B14" s="6" t="e">
        <v>#REF!</v>
      </c>
      <c r="C14" s="7" t="s">
        <v>5</v>
      </c>
      <c r="D14" s="8" t="s">
        <v>20</v>
      </c>
    </row>
    <row r="15" spans="1:4" ht="28.8">
      <c r="A15" s="6" t="s">
        <v>4</v>
      </c>
      <c r="B15" s="6" t="e">
        <v>#REF!</v>
      </c>
      <c r="C15" s="7" t="s">
        <v>15</v>
      </c>
      <c r="D15" s="8" t="s">
        <v>21</v>
      </c>
    </row>
    <row r="16" spans="1:4" ht="28.8">
      <c r="A16" s="6" t="s">
        <v>4</v>
      </c>
      <c r="B16" s="6" t="e">
        <v>#REF!</v>
      </c>
      <c r="C16" s="7" t="s">
        <v>15</v>
      </c>
      <c r="D16" s="8" t="s">
        <v>22</v>
      </c>
    </row>
    <row r="17" spans="1:4">
      <c r="A17" s="6" t="s">
        <v>4</v>
      </c>
      <c r="B17" s="6" t="e">
        <v>#REF!</v>
      </c>
      <c r="C17" s="7" t="s">
        <v>5</v>
      </c>
      <c r="D17" s="8" t="s">
        <v>23</v>
      </c>
    </row>
    <row r="18" spans="1:4">
      <c r="A18" s="6" t="s">
        <v>4</v>
      </c>
      <c r="B18" s="6" t="e">
        <v>#REF!</v>
      </c>
      <c r="C18" s="7" t="s">
        <v>5</v>
      </c>
      <c r="D18" s="8" t="s">
        <v>24</v>
      </c>
    </row>
    <row r="19" spans="1:4">
      <c r="A19" s="6" t="s">
        <v>4</v>
      </c>
      <c r="B19" s="6" t="e">
        <v>#REF!</v>
      </c>
      <c r="C19" s="7" t="s">
        <v>25</v>
      </c>
      <c r="D19" s="8" t="s">
        <v>26</v>
      </c>
    </row>
    <row r="20" spans="1:4">
      <c r="A20" s="6" t="s">
        <v>4</v>
      </c>
      <c r="B20" s="6" t="e">
        <v>#REF!</v>
      </c>
      <c r="C20" s="7" t="s">
        <v>25</v>
      </c>
      <c r="D20" s="8" t="s">
        <v>27</v>
      </c>
    </row>
    <row r="21" spans="1:4" ht="43.2">
      <c r="A21" s="6" t="s">
        <v>4</v>
      </c>
      <c r="B21" s="6" t="e">
        <v>#REF!</v>
      </c>
      <c r="C21" s="7" t="s">
        <v>5</v>
      </c>
      <c r="D21" s="8" t="s">
        <v>28</v>
      </c>
    </row>
    <row r="22" spans="1:4" ht="28.5" customHeight="1">
      <c r="A22" s="6" t="s">
        <v>4</v>
      </c>
      <c r="B22" s="6" t="e">
        <v>#REF!</v>
      </c>
      <c r="C22" s="7" t="s">
        <v>15</v>
      </c>
      <c r="D22" s="8" t="s">
        <v>29</v>
      </c>
    </row>
    <row r="23" spans="1:4" ht="28.8">
      <c r="A23" s="6" t="s">
        <v>4</v>
      </c>
      <c r="B23" s="6" t="e">
        <v>#REF!</v>
      </c>
      <c r="C23" s="7" t="s">
        <v>15</v>
      </c>
      <c r="D23" s="8" t="s">
        <v>30</v>
      </c>
    </row>
    <row r="24" spans="1:4">
      <c r="A24" s="6" t="s">
        <v>4</v>
      </c>
      <c r="B24" s="6" t="e">
        <v>#REF!</v>
      </c>
      <c r="C24" s="7" t="s">
        <v>5</v>
      </c>
      <c r="D24" s="8" t="s">
        <v>31</v>
      </c>
    </row>
    <row r="25" spans="1:4" ht="28.8">
      <c r="A25" s="6" t="s">
        <v>4</v>
      </c>
      <c r="B25" s="6" t="e">
        <v>#REF!</v>
      </c>
      <c r="C25" s="7" t="s">
        <v>5</v>
      </c>
      <c r="D25" s="8" t="s">
        <v>32</v>
      </c>
    </row>
    <row r="26" spans="1:4">
      <c r="A26" s="6" t="s">
        <v>4</v>
      </c>
      <c r="B26" s="6" t="e">
        <v>#REF!</v>
      </c>
      <c r="C26" s="7" t="s">
        <v>25</v>
      </c>
      <c r="D26" s="8" t="s">
        <v>33</v>
      </c>
    </row>
    <row r="27" spans="1:4" ht="28.8">
      <c r="A27" s="6" t="s">
        <v>4</v>
      </c>
      <c r="B27" s="6" t="e">
        <v>#REF!</v>
      </c>
      <c r="C27" s="7" t="s">
        <v>8</v>
      </c>
      <c r="D27" s="8" t="s">
        <v>34</v>
      </c>
    </row>
    <row r="28" spans="1:4" ht="43.2">
      <c r="A28" s="6" t="s">
        <v>4</v>
      </c>
      <c r="B28" s="6" t="e">
        <v>#REF!</v>
      </c>
      <c r="C28" s="7" t="s">
        <v>5</v>
      </c>
      <c r="D28" s="8" t="s">
        <v>35</v>
      </c>
    </row>
    <row r="29" spans="1:4" ht="28.8">
      <c r="A29" s="6" t="s">
        <v>4</v>
      </c>
      <c r="B29" s="6" t="e">
        <v>#REF!</v>
      </c>
      <c r="C29" s="7" t="s">
        <v>15</v>
      </c>
      <c r="D29" s="8" t="s">
        <v>29</v>
      </c>
    </row>
    <row r="30" spans="1:4" ht="28.8">
      <c r="A30" s="6" t="s">
        <v>4</v>
      </c>
      <c r="B30" s="6" t="e">
        <v>#REF!</v>
      </c>
      <c r="C30" s="7" t="s">
        <v>15</v>
      </c>
      <c r="D30" s="8" t="s">
        <v>30</v>
      </c>
    </row>
    <row r="31" spans="1:4">
      <c r="A31" s="6" t="s">
        <v>4</v>
      </c>
      <c r="B31" s="6" t="e">
        <v>#REF!</v>
      </c>
      <c r="C31" s="7" t="s">
        <v>5</v>
      </c>
      <c r="D31" s="8" t="s">
        <v>36</v>
      </c>
    </row>
    <row r="32" spans="1:4" ht="28.8">
      <c r="A32" s="6" t="s">
        <v>4</v>
      </c>
      <c r="B32" s="6" t="e">
        <v>#REF!</v>
      </c>
      <c r="C32" s="7" t="s">
        <v>5</v>
      </c>
      <c r="D32" s="8" t="s">
        <v>37</v>
      </c>
    </row>
    <row r="33" spans="1:4">
      <c r="A33" s="6" t="s">
        <v>4</v>
      </c>
      <c r="B33" s="6" t="e">
        <v>#REF!</v>
      </c>
      <c r="C33" s="7" t="s">
        <v>25</v>
      </c>
      <c r="D33" s="8" t="s">
        <v>38</v>
      </c>
    </row>
    <row r="34" spans="1:4" ht="28.8">
      <c r="A34" s="6" t="s">
        <v>4</v>
      </c>
      <c r="B34" s="6" t="e">
        <v>#REF!</v>
      </c>
      <c r="C34" s="7" t="s">
        <v>8</v>
      </c>
      <c r="D34" s="8" t="s">
        <v>39</v>
      </c>
    </row>
    <row r="35" spans="1:4" ht="43.2">
      <c r="A35" s="6" t="s">
        <v>4</v>
      </c>
      <c r="B35" s="6" t="e">
        <v>#REF!</v>
      </c>
      <c r="C35" s="7" t="s">
        <v>5</v>
      </c>
      <c r="D35" s="8" t="s">
        <v>40</v>
      </c>
    </row>
    <row r="36" spans="1:4" ht="28.8">
      <c r="A36" s="6" t="s">
        <v>4</v>
      </c>
      <c r="B36" s="6" t="e">
        <v>#REF!</v>
      </c>
      <c r="C36" s="7" t="s">
        <v>15</v>
      </c>
      <c r="D36" s="8" t="s">
        <v>41</v>
      </c>
    </row>
    <row r="37" spans="1:4" ht="28.8">
      <c r="A37" s="6" t="s">
        <v>4</v>
      </c>
      <c r="B37" s="6" t="e">
        <v>#REF!</v>
      </c>
      <c r="C37" s="7" t="s">
        <v>15</v>
      </c>
      <c r="D37" s="8" t="s">
        <v>42</v>
      </c>
    </row>
    <row r="38" spans="1:4">
      <c r="A38" s="6" t="s">
        <v>4</v>
      </c>
      <c r="B38" s="6" t="e">
        <v>#REF!</v>
      </c>
      <c r="C38" s="7" t="s">
        <v>5</v>
      </c>
      <c r="D38" s="8" t="s">
        <v>43</v>
      </c>
    </row>
    <row r="39" spans="1:4" ht="28.8">
      <c r="A39" s="6" t="s">
        <v>4</v>
      </c>
      <c r="B39" s="6" t="e">
        <v>#REF!</v>
      </c>
      <c r="C39" s="7" t="s">
        <v>5</v>
      </c>
      <c r="D39" s="8" t="s">
        <v>44</v>
      </c>
    </row>
    <row r="40" spans="1:4">
      <c r="A40" s="6" t="s">
        <v>4</v>
      </c>
      <c r="B40" s="6" t="e">
        <v>#REF!</v>
      </c>
      <c r="C40" s="7" t="s">
        <v>25</v>
      </c>
      <c r="D40" s="8" t="s">
        <v>45</v>
      </c>
    </row>
    <row r="41" spans="1:4" ht="28.8">
      <c r="A41" s="6" t="s">
        <v>4</v>
      </c>
      <c r="B41" s="6" t="e">
        <v>#REF!</v>
      </c>
      <c r="C41" s="7" t="s">
        <v>8</v>
      </c>
      <c r="D41" s="8" t="s">
        <v>46</v>
      </c>
    </row>
    <row r="42" spans="1:4" ht="43.2">
      <c r="A42" s="6" t="s">
        <v>4</v>
      </c>
      <c r="B42" s="6" t="e">
        <v>#REF!</v>
      </c>
      <c r="C42" s="7" t="s">
        <v>5</v>
      </c>
      <c r="D42" s="8" t="s">
        <v>47</v>
      </c>
    </row>
    <row r="43" spans="1:4" ht="28.8">
      <c r="A43" s="6" t="s">
        <v>4</v>
      </c>
      <c r="B43" s="6" t="e">
        <v>#REF!</v>
      </c>
      <c r="C43" s="7" t="s">
        <v>15</v>
      </c>
      <c r="D43" s="8" t="s">
        <v>48</v>
      </c>
    </row>
    <row r="44" spans="1:4" ht="28.8">
      <c r="A44" s="6" t="s">
        <v>4</v>
      </c>
      <c r="B44" s="6" t="e">
        <v>#REF!</v>
      </c>
      <c r="C44" s="7" t="s">
        <v>15</v>
      </c>
      <c r="D44" s="8" t="s">
        <v>49</v>
      </c>
    </row>
    <row r="45" spans="1:4">
      <c r="A45" s="6" t="s">
        <v>4</v>
      </c>
      <c r="B45" s="6" t="e">
        <v>#REF!</v>
      </c>
      <c r="C45" s="7" t="s">
        <v>5</v>
      </c>
      <c r="D45" s="8" t="s">
        <v>50</v>
      </c>
    </row>
    <row r="46" spans="1:4" ht="28.8">
      <c r="A46" s="6" t="s">
        <v>4</v>
      </c>
      <c r="B46" s="6" t="e">
        <v>#REF!</v>
      </c>
      <c r="C46" s="7" t="s">
        <v>5</v>
      </c>
      <c r="D46" s="8" t="s">
        <v>51</v>
      </c>
    </row>
    <row r="47" spans="1:4">
      <c r="A47" s="6" t="s">
        <v>4</v>
      </c>
      <c r="B47" s="6" t="e">
        <v>#REF!</v>
      </c>
      <c r="C47" s="7" t="s">
        <v>25</v>
      </c>
      <c r="D47" s="8" t="s">
        <v>52</v>
      </c>
    </row>
    <row r="48" spans="1:4" ht="28.8">
      <c r="A48" s="6" t="s">
        <v>4</v>
      </c>
      <c r="B48" s="6" t="e">
        <v>#REF!</v>
      </c>
      <c r="C48" s="7" t="s">
        <v>8</v>
      </c>
      <c r="D48" s="8" t="s">
        <v>53</v>
      </c>
    </row>
    <row r="49" spans="1:4" ht="43.2">
      <c r="A49" s="6" t="s">
        <v>4</v>
      </c>
      <c r="B49" s="6" t="e">
        <v>#REF!</v>
      </c>
      <c r="C49" s="7" t="s">
        <v>5</v>
      </c>
      <c r="D49" s="8" t="s">
        <v>54</v>
      </c>
    </row>
    <row r="50" spans="1:4">
      <c r="A50" s="9"/>
      <c r="B50" s="9"/>
      <c r="C50" s="10"/>
      <c r="D50" s="11"/>
    </row>
    <row r="51" spans="1:4">
      <c r="A51" s="6" t="s">
        <v>55</v>
      </c>
      <c r="B51" s="6" t="s">
        <v>56</v>
      </c>
      <c r="C51" s="7" t="s">
        <v>5</v>
      </c>
      <c r="D51" s="8" t="s">
        <v>57</v>
      </c>
    </row>
    <row r="52" spans="1:4">
      <c r="A52" s="6" t="s">
        <v>55</v>
      </c>
      <c r="B52" s="6" t="s">
        <v>58</v>
      </c>
      <c r="C52" s="7" t="s">
        <v>5</v>
      </c>
      <c r="D52" s="8" t="s">
        <v>59</v>
      </c>
    </row>
    <row r="53" spans="1:4">
      <c r="A53" s="6" t="s">
        <v>55</v>
      </c>
      <c r="B53" s="6" t="s">
        <v>60</v>
      </c>
      <c r="C53" s="7" t="s">
        <v>5</v>
      </c>
      <c r="D53" s="8" t="s">
        <v>61</v>
      </c>
    </row>
    <row r="54" spans="1:4">
      <c r="A54" s="6" t="s">
        <v>55</v>
      </c>
      <c r="B54" s="6" t="s">
        <v>62</v>
      </c>
      <c r="C54" s="7" t="s">
        <v>5</v>
      </c>
      <c r="D54" s="8" t="s">
        <v>63</v>
      </c>
    </row>
    <row r="55" spans="1:4">
      <c r="A55" s="6" t="s">
        <v>55</v>
      </c>
      <c r="B55" s="6" t="s">
        <v>64</v>
      </c>
      <c r="C55" s="7" t="s">
        <v>5</v>
      </c>
      <c r="D55" s="8" t="s">
        <v>65</v>
      </c>
    </row>
    <row r="56" spans="1:4">
      <c r="A56" s="6" t="s">
        <v>55</v>
      </c>
      <c r="B56" s="6" t="s">
        <v>66</v>
      </c>
      <c r="C56" s="7" t="s">
        <v>5</v>
      </c>
      <c r="D56" s="8" t="s">
        <v>67</v>
      </c>
    </row>
    <row r="57" spans="1:4">
      <c r="A57" s="6" t="s">
        <v>55</v>
      </c>
      <c r="B57" s="6" t="s">
        <v>68</v>
      </c>
      <c r="C57" s="7" t="s">
        <v>5</v>
      </c>
      <c r="D57" s="8" t="s">
        <v>69</v>
      </c>
    </row>
    <row r="58" spans="1:4">
      <c r="A58" s="6" t="s">
        <v>55</v>
      </c>
      <c r="B58" s="6" t="s">
        <v>70</v>
      </c>
      <c r="C58" s="7" t="s">
        <v>5</v>
      </c>
      <c r="D58" s="8" t="s">
        <v>71</v>
      </c>
    </row>
    <row r="59" spans="1:4">
      <c r="A59" s="6" t="s">
        <v>55</v>
      </c>
      <c r="B59" s="6" t="s">
        <v>72</v>
      </c>
      <c r="C59" s="7" t="s">
        <v>5</v>
      </c>
      <c r="D59" s="8" t="s">
        <v>73</v>
      </c>
    </row>
    <row r="60" spans="1:4">
      <c r="A60" s="6" t="s">
        <v>55</v>
      </c>
      <c r="B60" s="6" t="s">
        <v>74</v>
      </c>
      <c r="C60" s="7" t="s">
        <v>5</v>
      </c>
      <c r="D60" s="8" t="s">
        <v>75</v>
      </c>
    </row>
    <row r="61" spans="1:4">
      <c r="A61" s="6" t="s">
        <v>55</v>
      </c>
      <c r="B61" s="6" t="s">
        <v>76</v>
      </c>
      <c r="C61" s="7" t="s">
        <v>5</v>
      </c>
      <c r="D61" s="8" t="s">
        <v>77</v>
      </c>
    </row>
    <row r="62" spans="1:4">
      <c r="A62" s="6" t="s">
        <v>55</v>
      </c>
      <c r="B62" s="6" t="s">
        <v>78</v>
      </c>
      <c r="C62" s="7" t="s">
        <v>5</v>
      </c>
      <c r="D62" s="8" t="s">
        <v>79</v>
      </c>
    </row>
    <row r="63" spans="1:4">
      <c r="A63" s="6" t="s">
        <v>55</v>
      </c>
      <c r="B63" s="6" t="s">
        <v>80</v>
      </c>
      <c r="C63" s="7" t="s">
        <v>5</v>
      </c>
      <c r="D63" s="8" t="s">
        <v>81</v>
      </c>
    </row>
    <row r="64" spans="1:4">
      <c r="A64" s="6" t="s">
        <v>55</v>
      </c>
      <c r="B64" s="6" t="s">
        <v>82</v>
      </c>
      <c r="C64" s="7" t="s">
        <v>5</v>
      </c>
      <c r="D64" s="8" t="s">
        <v>83</v>
      </c>
    </row>
    <row r="65" spans="1:4">
      <c r="A65" s="6" t="s">
        <v>55</v>
      </c>
      <c r="B65" s="6" t="s">
        <v>84</v>
      </c>
      <c r="C65" s="7" t="s">
        <v>5</v>
      </c>
      <c r="D65" s="8" t="s">
        <v>85</v>
      </c>
    </row>
    <row r="66" spans="1:4">
      <c r="A66" s="6" t="s">
        <v>55</v>
      </c>
      <c r="B66" s="6" t="s">
        <v>86</v>
      </c>
      <c r="C66" s="7" t="s">
        <v>5</v>
      </c>
      <c r="D66" s="8" t="s">
        <v>87</v>
      </c>
    </row>
    <row r="67" spans="1:4">
      <c r="A67" s="6" t="s">
        <v>55</v>
      </c>
      <c r="B67" s="6" t="s">
        <v>88</v>
      </c>
      <c r="C67" s="7" t="s">
        <v>5</v>
      </c>
      <c r="D67" s="8" t="s">
        <v>89</v>
      </c>
    </row>
    <row r="68" spans="1:4">
      <c r="A68" s="6" t="s">
        <v>55</v>
      </c>
      <c r="B68" s="6" t="s">
        <v>90</v>
      </c>
      <c r="C68" s="7" t="s">
        <v>5</v>
      </c>
      <c r="D68" s="8" t="s">
        <v>91</v>
      </c>
    </row>
    <row r="69" spans="1:4">
      <c r="A69" s="6" t="s">
        <v>55</v>
      </c>
      <c r="B69" s="6" t="s">
        <v>92</v>
      </c>
      <c r="C69" s="7" t="s">
        <v>5</v>
      </c>
      <c r="D69" s="8" t="s">
        <v>93</v>
      </c>
    </row>
    <row r="70" spans="1:4">
      <c r="A70" s="6" t="s">
        <v>55</v>
      </c>
      <c r="B70" s="6" t="s">
        <v>94</v>
      </c>
      <c r="C70" s="7" t="s">
        <v>5</v>
      </c>
      <c r="D70" s="8" t="s">
        <v>95</v>
      </c>
    </row>
    <row r="71" spans="1:4">
      <c r="A71" s="12"/>
      <c r="B71" s="12"/>
      <c r="C71" s="10"/>
      <c r="D71" s="13"/>
    </row>
    <row r="72" spans="1:4">
      <c r="A72" s="6" t="s">
        <v>96</v>
      </c>
      <c r="B72" s="6" t="e">
        <v>#REF!</v>
      </c>
      <c r="C72" s="7" t="s">
        <v>5</v>
      </c>
      <c r="D72" s="8" t="s">
        <v>57</v>
      </c>
    </row>
    <row r="73" spans="1:4" ht="28.8">
      <c r="A73" s="6" t="s">
        <v>96</v>
      </c>
      <c r="B73" s="6" t="e">
        <v>#REF!</v>
      </c>
      <c r="C73" s="7" t="s">
        <v>5</v>
      </c>
      <c r="D73" s="8" t="s">
        <v>97</v>
      </c>
    </row>
    <row r="74" spans="1:4">
      <c r="A74" s="6" t="s">
        <v>96</v>
      </c>
      <c r="B74" s="6" t="e">
        <v>#REF!</v>
      </c>
      <c r="C74" s="7" t="s">
        <v>5</v>
      </c>
      <c r="D74" s="8" t="s">
        <v>98</v>
      </c>
    </row>
    <row r="75" spans="1:4">
      <c r="A75" s="6" t="s">
        <v>96</v>
      </c>
      <c r="B75" s="6" t="e">
        <v>#REF!</v>
      </c>
      <c r="C75" s="7" t="s">
        <v>99</v>
      </c>
      <c r="D75" s="8" t="s">
        <v>100</v>
      </c>
    </row>
    <row r="76" spans="1:4">
      <c r="A76" s="6" t="s">
        <v>96</v>
      </c>
      <c r="B76" s="6" t="e">
        <v>#REF!</v>
      </c>
      <c r="C76" s="7" t="s">
        <v>101</v>
      </c>
      <c r="D76" s="8" t="s">
        <v>102</v>
      </c>
    </row>
    <row r="77" spans="1:4" ht="28.8">
      <c r="A77" s="6" t="s">
        <v>96</v>
      </c>
      <c r="B77" s="6" t="e">
        <v>#REF!</v>
      </c>
      <c r="C77" s="7" t="s">
        <v>99</v>
      </c>
      <c r="D77" s="8" t="s">
        <v>103</v>
      </c>
    </row>
    <row r="78" spans="1:4" ht="28.8">
      <c r="A78" s="6" t="s">
        <v>96</v>
      </c>
      <c r="B78" s="6" t="e">
        <v>#REF!</v>
      </c>
      <c r="C78" s="7" t="s">
        <v>101</v>
      </c>
      <c r="D78" s="8" t="s">
        <v>104</v>
      </c>
    </row>
    <row r="79" spans="1:4">
      <c r="A79" s="6" t="s">
        <v>96</v>
      </c>
      <c r="B79" s="6" t="e">
        <v>#REF!</v>
      </c>
      <c r="C79" s="7" t="s">
        <v>5</v>
      </c>
      <c r="D79" s="8" t="s">
        <v>105</v>
      </c>
    </row>
    <row r="80" spans="1:4">
      <c r="A80" s="6" t="s">
        <v>96</v>
      </c>
      <c r="B80" s="6" t="e">
        <v>#REF!</v>
      </c>
      <c r="C80" s="7" t="s">
        <v>106</v>
      </c>
      <c r="D80" s="8" t="s">
        <v>107</v>
      </c>
    </row>
    <row r="81" spans="1:4">
      <c r="A81" s="6" t="s">
        <v>96</v>
      </c>
      <c r="B81" s="6" t="e">
        <v>#REF!</v>
      </c>
      <c r="C81" s="7" t="s">
        <v>108</v>
      </c>
      <c r="D81" s="8" t="s">
        <v>109</v>
      </c>
    </row>
    <row r="82" spans="1:4">
      <c r="A82" s="6" t="s">
        <v>96</v>
      </c>
      <c r="B82" s="6" t="e">
        <v>#REF!</v>
      </c>
      <c r="C82" s="7" t="s">
        <v>5</v>
      </c>
      <c r="D82" s="8" t="s">
        <v>110</v>
      </c>
    </row>
  </sheetData>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5"/>
  <sheetViews>
    <sheetView tabSelected="1" topLeftCell="J1" zoomScale="166" zoomScaleNormal="166" workbookViewId="0">
      <selection activeCell="P6" sqref="P6"/>
    </sheetView>
  </sheetViews>
  <sheetFormatPr defaultRowHeight="14.4"/>
  <cols>
    <col min="1" max="1" width="21.21875" style="7" customWidth="1"/>
    <col min="2" max="2" width="26.6640625" style="7" customWidth="1"/>
    <col min="3" max="3" width="9.77734375" style="7" customWidth="1"/>
    <col min="4" max="12" width="8.77734375" style="7" customWidth="1"/>
    <col min="13" max="13" width="6.77734375" style="7" customWidth="1"/>
    <col min="14" max="14" width="8.77734375" style="7" customWidth="1"/>
    <col min="15" max="15" width="12" style="7" customWidth="1"/>
    <col min="16" max="16" width="8.77734375" style="7" customWidth="1"/>
    <col min="17" max="17" width="10.44140625" style="7" customWidth="1"/>
    <col min="18" max="18" width="16.109375" style="7" customWidth="1"/>
    <col min="19" max="19" width="15.77734375" style="7" customWidth="1"/>
    <col min="20" max="35" width="8.77734375" style="7" customWidth="1"/>
    <col min="36" max="36" width="12" style="7" customWidth="1"/>
    <col min="37" max="1025" width="8.77734375" style="7" customWidth="1"/>
  </cols>
  <sheetData>
    <row r="1" spans="1:48">
      <c r="A1" s="14" t="s">
        <v>56</v>
      </c>
      <c r="B1" s="14" t="s">
        <v>111</v>
      </c>
      <c r="C1" s="14" t="s">
        <v>112</v>
      </c>
      <c r="D1" s="14" t="s">
        <v>113</v>
      </c>
      <c r="E1" s="14" t="s">
        <v>114</v>
      </c>
      <c r="F1" s="14" t="s">
        <v>115</v>
      </c>
      <c r="G1" s="14" t="s">
        <v>116</v>
      </c>
      <c r="H1" s="14" t="s">
        <v>117</v>
      </c>
      <c r="I1" s="14" t="s">
        <v>118</v>
      </c>
      <c r="J1" s="14" t="s">
        <v>119</v>
      </c>
      <c r="K1" s="14" t="s">
        <v>120</v>
      </c>
      <c r="L1" s="14" t="s">
        <v>121</v>
      </c>
      <c r="M1" s="14" t="s">
        <v>122</v>
      </c>
      <c r="N1" s="15" t="s">
        <v>123</v>
      </c>
      <c r="O1" s="15" t="s">
        <v>124</v>
      </c>
      <c r="P1" s="15" t="s">
        <v>125</v>
      </c>
      <c r="Q1" s="15" t="s">
        <v>126</v>
      </c>
      <c r="R1" s="15" t="s">
        <v>127</v>
      </c>
      <c r="S1" s="15" t="s">
        <v>128</v>
      </c>
      <c r="T1" s="15" t="s">
        <v>129</v>
      </c>
      <c r="U1" s="16" t="s">
        <v>130</v>
      </c>
      <c r="V1" s="16" t="s">
        <v>131</v>
      </c>
      <c r="W1" s="16" t="s">
        <v>132</v>
      </c>
      <c r="X1" s="16" t="s">
        <v>133</v>
      </c>
      <c r="Y1" s="16" t="s">
        <v>134</v>
      </c>
      <c r="Z1" s="16" t="s">
        <v>135</v>
      </c>
      <c r="AA1" s="16" t="s">
        <v>136</v>
      </c>
      <c r="AB1" s="17" t="s">
        <v>137</v>
      </c>
      <c r="AC1" s="17" t="s">
        <v>138</v>
      </c>
      <c r="AD1" s="17" t="s">
        <v>139</v>
      </c>
      <c r="AE1" s="17" t="s">
        <v>140</v>
      </c>
      <c r="AF1" s="17" t="s">
        <v>141</v>
      </c>
      <c r="AG1" s="17" t="s">
        <v>142</v>
      </c>
      <c r="AH1" s="17" t="s">
        <v>143</v>
      </c>
      <c r="AI1" s="18" t="s">
        <v>144</v>
      </c>
      <c r="AJ1" s="18" t="s">
        <v>145</v>
      </c>
      <c r="AK1" s="18" t="s">
        <v>146</v>
      </c>
      <c r="AL1" s="18" t="s">
        <v>147</v>
      </c>
      <c r="AM1" s="18" t="s">
        <v>148</v>
      </c>
      <c r="AN1" s="18" t="s">
        <v>149</v>
      </c>
      <c r="AO1" s="18" t="s">
        <v>150</v>
      </c>
      <c r="AP1" s="19" t="s">
        <v>151</v>
      </c>
      <c r="AQ1" s="19" t="s">
        <v>152</v>
      </c>
      <c r="AR1" s="19" t="s">
        <v>153</v>
      </c>
      <c r="AS1" s="19" t="s">
        <v>154</v>
      </c>
      <c r="AT1" s="19" t="s">
        <v>155</v>
      </c>
      <c r="AU1" s="19" t="s">
        <v>156</v>
      </c>
      <c r="AV1" s="19" t="s">
        <v>157</v>
      </c>
    </row>
    <row r="2" spans="1:48">
      <c r="A2" s="7" t="s">
        <v>238</v>
      </c>
      <c r="B2" s="7" t="s">
        <v>158</v>
      </c>
      <c r="C2" s="7">
        <v>0</v>
      </c>
      <c r="D2" s="7">
        <v>0.8</v>
      </c>
      <c r="E2" s="7">
        <v>1</v>
      </c>
      <c r="F2" s="7">
        <f>2*N2/((1+Q2)*(P2*N2)^(1/2))</f>
        <v>28.551825530649818</v>
      </c>
      <c r="G2" s="7">
        <v>4</v>
      </c>
      <c r="H2" s="7">
        <f>F2/G2</f>
        <v>7.1379563826624546</v>
      </c>
      <c r="I2" s="7">
        <v>14</v>
      </c>
      <c r="J2" s="7">
        <v>0</v>
      </c>
      <c r="K2" s="7">
        <f>G2*3.1415*F2/2</f>
        <v>179.39111980907282</v>
      </c>
      <c r="L2" s="7">
        <v>1</v>
      </c>
      <c r="M2" s="7">
        <v>1</v>
      </c>
      <c r="N2" s="7">
        <v>650</v>
      </c>
      <c r="O2" s="7">
        <f t="shared" ref="O2:O11" si="0">N2*2</f>
        <v>1300</v>
      </c>
      <c r="P2" s="7">
        <v>1.75</v>
      </c>
      <c r="Q2" s="7">
        <v>0.35</v>
      </c>
      <c r="R2" s="7">
        <f t="shared" ref="R2:R10" si="1">ATAN(-TAN(0*3.1415/180)+(4*(1-Q2))/((1+Q2)*P2))*180/3.1415</f>
        <v>47.741432696265761</v>
      </c>
      <c r="S2" s="7">
        <f>ATAN(TAN(R2*3.1415/180)+(Q2-1)/((1+Q2)*P2))*180/3.1415</f>
        <v>39.537323243389167</v>
      </c>
      <c r="T2" s="7">
        <v>1.1000000000000001</v>
      </c>
      <c r="U2" s="7">
        <v>0</v>
      </c>
      <c r="V2" s="7">
        <v>0</v>
      </c>
      <c r="W2" s="7">
        <v>0</v>
      </c>
      <c r="X2" s="7">
        <v>0</v>
      </c>
      <c r="Y2" s="7">
        <v>0</v>
      </c>
      <c r="Z2" s="7">
        <v>0</v>
      </c>
      <c r="AA2" s="7">
        <v>0</v>
      </c>
      <c r="AB2" s="7">
        <v>0</v>
      </c>
      <c r="AC2" s="7">
        <v>0</v>
      </c>
      <c r="AD2" s="7">
        <v>0</v>
      </c>
      <c r="AE2" s="7">
        <v>0</v>
      </c>
      <c r="AF2" s="7">
        <v>0</v>
      </c>
      <c r="AG2" s="7">
        <v>0</v>
      </c>
      <c r="AH2" s="7">
        <v>0</v>
      </c>
      <c r="AI2" s="7">
        <f>(2/3)*P2*N2*(1+Q2)*0.06</f>
        <v>61.424999999999997</v>
      </c>
      <c r="AJ2" s="7">
        <f t="shared" ref="AJ2:AJ11" si="2">2*AI2</f>
        <v>122.85</v>
      </c>
      <c r="AK2" s="7">
        <v>1.8</v>
      </c>
      <c r="AL2" s="7">
        <v>0.4</v>
      </c>
      <c r="AM2" s="7">
        <v>20</v>
      </c>
      <c r="AN2" s="7">
        <f t="shared" ref="AN2:AN11" si="3">(2/3)*((2*AI2)/((SQRT(AK2*AI2))*(1+AL2)))*(1+AL2+AL2^2)/(1+AL2)</f>
        <v>6.1993134200866535</v>
      </c>
      <c r="AO2" s="7">
        <v>1.1000000000000001</v>
      </c>
      <c r="AP2" s="7">
        <v>0</v>
      </c>
      <c r="AQ2" s="7">
        <v>0</v>
      </c>
      <c r="AR2" s="7">
        <v>0</v>
      </c>
      <c r="AS2" s="7">
        <v>0</v>
      </c>
      <c r="AT2" s="7">
        <v>0</v>
      </c>
      <c r="AU2" s="7">
        <v>0</v>
      </c>
      <c r="AV2" s="7">
        <v>0</v>
      </c>
    </row>
    <row r="3" spans="1:48">
      <c r="A3" s="7" t="s">
        <v>239</v>
      </c>
      <c r="B3" s="7" t="s">
        <v>158</v>
      </c>
      <c r="C3" s="7">
        <v>0</v>
      </c>
      <c r="D3" s="7">
        <v>0.8</v>
      </c>
      <c r="E3" s="7">
        <v>1</v>
      </c>
      <c r="F3" s="7">
        <f t="shared" ref="F3:F11" si="4">2*N3/((1+Q3)*(P3*N3)^(1/2))</f>
        <v>27.431706659927453</v>
      </c>
      <c r="G3" s="7">
        <v>4</v>
      </c>
      <c r="H3" s="7">
        <f t="shared" ref="H3:H11" si="5">F3/G3</f>
        <v>6.8579266649818633</v>
      </c>
      <c r="I3" s="7">
        <v>14</v>
      </c>
      <c r="J3" s="7">
        <v>0</v>
      </c>
      <c r="K3" s="7">
        <f t="shared" ref="K3:K11" si="6">G3*3.1415*F3/2</f>
        <v>172.35341294432419</v>
      </c>
      <c r="L3" s="7">
        <v>1</v>
      </c>
      <c r="M3" s="7">
        <v>1</v>
      </c>
      <c r="N3" s="7">
        <v>600</v>
      </c>
      <c r="O3" s="7">
        <f t="shared" si="0"/>
        <v>1200</v>
      </c>
      <c r="P3" s="7">
        <v>1.75</v>
      </c>
      <c r="Q3" s="7">
        <v>0.35</v>
      </c>
      <c r="R3" s="7">
        <f t="shared" si="1"/>
        <v>47.741432696265761</v>
      </c>
      <c r="S3" s="7">
        <f t="shared" ref="S3:S11" si="7">ATAN(TAN(R3*3.1415/180)+(Q3-1)/((1+Q3)*P3))*180/3.1415</f>
        <v>39.537323243389167</v>
      </c>
      <c r="T3" s="7">
        <v>1.1000000000000001</v>
      </c>
      <c r="U3" s="7">
        <v>0</v>
      </c>
      <c r="V3" s="7">
        <v>0</v>
      </c>
      <c r="W3" s="7">
        <v>0</v>
      </c>
      <c r="X3" s="7">
        <v>0</v>
      </c>
      <c r="Y3" s="7">
        <v>0</v>
      </c>
      <c r="Z3" s="7">
        <v>0</v>
      </c>
      <c r="AA3" s="7">
        <v>0</v>
      </c>
      <c r="AB3" s="7">
        <v>0</v>
      </c>
      <c r="AC3" s="7">
        <v>0</v>
      </c>
      <c r="AD3" s="7">
        <v>0</v>
      </c>
      <c r="AE3" s="7">
        <v>0</v>
      </c>
      <c r="AF3" s="7">
        <v>0</v>
      </c>
      <c r="AG3" s="7">
        <v>0</v>
      </c>
      <c r="AH3" s="7">
        <v>0</v>
      </c>
      <c r="AI3" s="7">
        <f t="shared" ref="AI3:AI11" si="8">(2/3)*P3*N3*(1+Q3)*0.06</f>
        <v>56.699999999999989</v>
      </c>
      <c r="AJ3" s="7">
        <f t="shared" si="2"/>
        <v>113.39999999999998</v>
      </c>
      <c r="AK3" s="7">
        <v>1.8</v>
      </c>
      <c r="AL3" s="7">
        <v>0.4</v>
      </c>
      <c r="AM3" s="7">
        <v>20</v>
      </c>
      <c r="AN3" s="7">
        <f t="shared" si="3"/>
        <v>5.9561076769054582</v>
      </c>
      <c r="AO3" s="7">
        <v>1.1000000000000001</v>
      </c>
      <c r="AP3" s="7">
        <v>0</v>
      </c>
      <c r="AQ3" s="7">
        <v>0</v>
      </c>
      <c r="AR3" s="7">
        <v>0</v>
      </c>
      <c r="AS3" s="7">
        <v>0</v>
      </c>
      <c r="AT3" s="7">
        <v>0</v>
      </c>
      <c r="AU3" s="7">
        <v>0</v>
      </c>
      <c r="AV3" s="7">
        <v>0</v>
      </c>
    </row>
    <row r="4" spans="1:48">
      <c r="A4" s="7" t="s">
        <v>240</v>
      </c>
      <c r="B4" s="7" t="s">
        <v>158</v>
      </c>
      <c r="C4" s="7">
        <v>0</v>
      </c>
      <c r="D4" s="7">
        <v>0.8</v>
      </c>
      <c r="E4" s="7">
        <v>1</v>
      </c>
      <c r="F4" s="7">
        <f t="shared" si="4"/>
        <v>26.263859568234611</v>
      </c>
      <c r="G4" s="7">
        <v>4</v>
      </c>
      <c r="H4" s="7">
        <f t="shared" si="5"/>
        <v>6.5659648920586529</v>
      </c>
      <c r="I4" s="7">
        <v>14</v>
      </c>
      <c r="J4" s="7">
        <v>0</v>
      </c>
      <c r="K4" s="7">
        <f t="shared" si="6"/>
        <v>165.01582966721807</v>
      </c>
      <c r="L4" s="7">
        <v>1</v>
      </c>
      <c r="M4" s="7">
        <v>1</v>
      </c>
      <c r="N4" s="7">
        <v>550</v>
      </c>
      <c r="O4" s="7">
        <f t="shared" si="0"/>
        <v>1100</v>
      </c>
      <c r="P4" s="7">
        <v>1.75</v>
      </c>
      <c r="Q4" s="7">
        <v>0.35</v>
      </c>
      <c r="R4" s="7">
        <f t="shared" si="1"/>
        <v>47.741432696265761</v>
      </c>
      <c r="S4" s="7">
        <f t="shared" si="7"/>
        <v>39.537323243389167</v>
      </c>
      <c r="T4" s="7">
        <v>1.1000000000000001</v>
      </c>
      <c r="U4" s="7">
        <v>0</v>
      </c>
      <c r="V4" s="7">
        <v>0</v>
      </c>
      <c r="W4" s="7">
        <v>0</v>
      </c>
      <c r="X4" s="7">
        <v>0</v>
      </c>
      <c r="Y4" s="7">
        <v>0</v>
      </c>
      <c r="Z4" s="7">
        <v>0</v>
      </c>
      <c r="AA4" s="7">
        <v>0</v>
      </c>
      <c r="AB4" s="7">
        <v>0</v>
      </c>
      <c r="AC4" s="7">
        <v>0</v>
      </c>
      <c r="AD4" s="7">
        <v>0</v>
      </c>
      <c r="AE4" s="7">
        <v>0</v>
      </c>
      <c r="AF4" s="7">
        <v>0</v>
      </c>
      <c r="AG4" s="7">
        <v>0</v>
      </c>
      <c r="AH4" s="7">
        <v>0</v>
      </c>
      <c r="AI4" s="7">
        <f t="shared" si="8"/>
        <v>51.975000000000001</v>
      </c>
      <c r="AJ4" s="7">
        <f t="shared" si="2"/>
        <v>103.95</v>
      </c>
      <c r="AK4" s="7">
        <v>1.8</v>
      </c>
      <c r="AL4" s="7">
        <v>0.4</v>
      </c>
      <c r="AM4" s="7">
        <v>20</v>
      </c>
      <c r="AN4" s="7">
        <f t="shared" si="3"/>
        <v>5.702538946584915</v>
      </c>
      <c r="AO4" s="7">
        <v>1.1000000000000001</v>
      </c>
      <c r="AP4" s="7">
        <v>0</v>
      </c>
      <c r="AQ4" s="7">
        <v>0</v>
      </c>
      <c r="AR4" s="7">
        <v>0</v>
      </c>
      <c r="AS4" s="7">
        <v>0</v>
      </c>
      <c r="AT4" s="7">
        <v>0</v>
      </c>
      <c r="AU4" s="7">
        <v>0</v>
      </c>
      <c r="AV4" s="7">
        <v>0</v>
      </c>
    </row>
    <row r="5" spans="1:48">
      <c r="A5" s="7" t="s">
        <v>241</v>
      </c>
      <c r="B5" s="7" t="s">
        <v>158</v>
      </c>
      <c r="C5" s="7">
        <v>0</v>
      </c>
      <c r="D5" s="7">
        <v>0.8</v>
      </c>
      <c r="E5" s="7">
        <v>1</v>
      </c>
      <c r="F5" s="7">
        <f t="shared" si="4"/>
        <v>25.041607547511603</v>
      </c>
      <c r="G5" s="7">
        <v>4</v>
      </c>
      <c r="H5" s="7">
        <f t="shared" si="5"/>
        <v>6.2604018868779008</v>
      </c>
      <c r="I5" s="7">
        <v>14</v>
      </c>
      <c r="J5" s="7">
        <v>0</v>
      </c>
      <c r="K5" s="7">
        <f t="shared" si="6"/>
        <v>157.3364202210154</v>
      </c>
      <c r="L5" s="7">
        <v>1</v>
      </c>
      <c r="M5" s="7">
        <v>1</v>
      </c>
      <c r="N5" s="7">
        <v>500</v>
      </c>
      <c r="O5" s="7">
        <f t="shared" si="0"/>
        <v>1000</v>
      </c>
      <c r="P5" s="7">
        <v>1.75</v>
      </c>
      <c r="Q5" s="7">
        <v>0.35</v>
      </c>
      <c r="R5" s="7">
        <f t="shared" si="1"/>
        <v>47.741432696265761</v>
      </c>
      <c r="S5" s="7">
        <f t="shared" si="7"/>
        <v>39.537323243389167</v>
      </c>
      <c r="T5" s="7">
        <v>1.1000000000000001</v>
      </c>
      <c r="U5" s="7">
        <v>0</v>
      </c>
      <c r="V5" s="7">
        <v>0</v>
      </c>
      <c r="W5" s="7">
        <v>0</v>
      </c>
      <c r="X5" s="7">
        <v>0</v>
      </c>
      <c r="Y5" s="7">
        <v>0</v>
      </c>
      <c r="Z5" s="7">
        <v>0</v>
      </c>
      <c r="AA5" s="7">
        <v>0</v>
      </c>
      <c r="AB5" s="7">
        <v>0</v>
      </c>
      <c r="AC5" s="7">
        <v>0</v>
      </c>
      <c r="AD5" s="7">
        <v>0</v>
      </c>
      <c r="AE5" s="7">
        <v>0</v>
      </c>
      <c r="AF5" s="7">
        <v>0</v>
      </c>
      <c r="AG5" s="7">
        <v>0</v>
      </c>
      <c r="AH5" s="7">
        <v>0</v>
      </c>
      <c r="AI5" s="7">
        <f t="shared" si="8"/>
        <v>47.25</v>
      </c>
      <c r="AJ5" s="7">
        <f t="shared" si="2"/>
        <v>94.5</v>
      </c>
      <c r="AK5" s="7">
        <v>1.8</v>
      </c>
      <c r="AL5" s="7">
        <v>0.4</v>
      </c>
      <c r="AM5" s="7">
        <v>20</v>
      </c>
      <c r="AN5" s="7">
        <f t="shared" si="3"/>
        <v>5.4371575492846853</v>
      </c>
      <c r="AO5" s="7">
        <v>1.1000000000000001</v>
      </c>
      <c r="AP5" s="7">
        <v>0</v>
      </c>
      <c r="AQ5" s="7">
        <v>0</v>
      </c>
      <c r="AR5" s="7">
        <v>0</v>
      </c>
      <c r="AS5" s="7">
        <v>0</v>
      </c>
      <c r="AT5" s="7">
        <v>0</v>
      </c>
      <c r="AU5" s="7">
        <v>0</v>
      </c>
      <c r="AV5" s="7">
        <v>0</v>
      </c>
    </row>
    <row r="6" spans="1:48">
      <c r="A6" s="7" t="s">
        <v>242</v>
      </c>
      <c r="B6" s="7" t="s">
        <v>158</v>
      </c>
      <c r="C6" s="7">
        <v>0</v>
      </c>
      <c r="D6" s="7">
        <v>0.8</v>
      </c>
      <c r="E6" s="7">
        <v>1</v>
      </c>
      <c r="F6" s="7">
        <f t="shared" si="4"/>
        <v>23.756554836659941</v>
      </c>
      <c r="G6" s="7">
        <v>4</v>
      </c>
      <c r="H6" s="7">
        <f t="shared" si="5"/>
        <v>5.9391387091649852</v>
      </c>
      <c r="I6" s="7">
        <v>14</v>
      </c>
      <c r="J6" s="7">
        <v>0</v>
      </c>
      <c r="K6" s="7">
        <f t="shared" si="6"/>
        <v>149.26243403873443</v>
      </c>
      <c r="L6" s="7">
        <v>1</v>
      </c>
      <c r="M6" s="7">
        <v>1</v>
      </c>
      <c r="N6" s="7">
        <v>450</v>
      </c>
      <c r="O6" s="7">
        <f t="shared" si="0"/>
        <v>900</v>
      </c>
      <c r="P6" s="7">
        <v>1.75</v>
      </c>
      <c r="Q6" s="7">
        <v>0.35</v>
      </c>
      <c r="R6" s="7">
        <f t="shared" si="1"/>
        <v>47.741432696265761</v>
      </c>
      <c r="S6" s="7">
        <f t="shared" si="7"/>
        <v>39.537323243389167</v>
      </c>
      <c r="T6" s="7">
        <v>1.1000000000000001</v>
      </c>
      <c r="U6" s="7">
        <v>0</v>
      </c>
      <c r="V6" s="7">
        <v>0</v>
      </c>
      <c r="W6" s="7">
        <v>0</v>
      </c>
      <c r="X6" s="7">
        <v>0</v>
      </c>
      <c r="Y6" s="7">
        <v>0</v>
      </c>
      <c r="Z6" s="7">
        <v>0</v>
      </c>
      <c r="AA6" s="7">
        <v>0</v>
      </c>
      <c r="AB6" s="7">
        <v>0</v>
      </c>
      <c r="AC6" s="7">
        <v>0</v>
      </c>
      <c r="AD6" s="7">
        <v>0</v>
      </c>
      <c r="AE6" s="7">
        <v>0</v>
      </c>
      <c r="AF6" s="7">
        <v>0</v>
      </c>
      <c r="AG6" s="7">
        <v>0</v>
      </c>
      <c r="AH6" s="7">
        <v>0</v>
      </c>
      <c r="AI6" s="7">
        <f t="shared" si="8"/>
        <v>42.524999999999991</v>
      </c>
      <c r="AJ6" s="7">
        <f t="shared" si="2"/>
        <v>85.049999999999983</v>
      </c>
      <c r="AK6" s="7">
        <v>1.8</v>
      </c>
      <c r="AL6" s="7">
        <v>0.4</v>
      </c>
      <c r="AM6" s="7">
        <v>20</v>
      </c>
      <c r="AN6" s="7">
        <f t="shared" si="3"/>
        <v>5.1581405558756437</v>
      </c>
      <c r="AO6" s="7">
        <v>1.1000000000000001</v>
      </c>
      <c r="AP6" s="7">
        <v>0</v>
      </c>
      <c r="AQ6" s="7">
        <v>0</v>
      </c>
      <c r="AR6" s="7">
        <v>0</v>
      </c>
      <c r="AS6" s="7">
        <v>0</v>
      </c>
      <c r="AT6" s="7">
        <v>0</v>
      </c>
      <c r="AU6" s="7">
        <v>0</v>
      </c>
      <c r="AV6" s="7">
        <v>0</v>
      </c>
    </row>
    <row r="7" spans="1:48">
      <c r="A7" s="7" t="s">
        <v>243</v>
      </c>
      <c r="B7" s="7" t="s">
        <v>158</v>
      </c>
      <c r="C7" s="7">
        <v>0</v>
      </c>
      <c r="D7" s="7">
        <v>0.8</v>
      </c>
      <c r="E7" s="7">
        <v>1</v>
      </c>
      <c r="F7" s="7">
        <f t="shared" si="4"/>
        <v>26.707787225659178</v>
      </c>
      <c r="G7" s="7">
        <v>4</v>
      </c>
      <c r="H7" s="7">
        <f t="shared" si="5"/>
        <v>6.6769468064147945</v>
      </c>
      <c r="I7" s="7">
        <v>14</v>
      </c>
      <c r="J7" s="7">
        <v>0</v>
      </c>
      <c r="K7" s="7">
        <f t="shared" si="6"/>
        <v>167.80502713881663</v>
      </c>
      <c r="L7" s="7">
        <v>1</v>
      </c>
      <c r="M7" s="7">
        <v>1</v>
      </c>
      <c r="N7" s="7">
        <v>650</v>
      </c>
      <c r="O7" s="7">
        <f t="shared" si="0"/>
        <v>1300</v>
      </c>
      <c r="P7" s="7">
        <v>2</v>
      </c>
      <c r="Q7" s="7">
        <v>0.35</v>
      </c>
      <c r="R7" s="7">
        <f t="shared" si="1"/>
        <v>43.920371137240153</v>
      </c>
      <c r="S7" s="7">
        <f t="shared" si="7"/>
        <v>35.838709929352603</v>
      </c>
      <c r="T7" s="7">
        <v>1.1000000000000001</v>
      </c>
      <c r="U7" s="7">
        <v>0</v>
      </c>
      <c r="V7" s="7">
        <v>0</v>
      </c>
      <c r="W7" s="7">
        <v>0</v>
      </c>
      <c r="X7" s="7">
        <v>0</v>
      </c>
      <c r="Y7" s="7">
        <v>0</v>
      </c>
      <c r="Z7" s="7">
        <v>0</v>
      </c>
      <c r="AA7" s="7">
        <v>0</v>
      </c>
      <c r="AB7" s="7">
        <v>0</v>
      </c>
      <c r="AC7" s="7">
        <v>0</v>
      </c>
      <c r="AD7" s="7">
        <v>0</v>
      </c>
      <c r="AE7" s="7">
        <v>0</v>
      </c>
      <c r="AF7" s="7">
        <v>0</v>
      </c>
      <c r="AG7" s="7">
        <v>0</v>
      </c>
      <c r="AH7" s="7">
        <v>0</v>
      </c>
      <c r="AI7" s="7">
        <f t="shared" si="8"/>
        <v>70.2</v>
      </c>
      <c r="AJ7" s="7">
        <f t="shared" si="2"/>
        <v>140.4</v>
      </c>
      <c r="AK7" s="7">
        <v>1.8</v>
      </c>
      <c r="AL7" s="7">
        <v>0.4</v>
      </c>
      <c r="AM7" s="7">
        <v>20</v>
      </c>
      <c r="AN7" s="7">
        <f t="shared" si="3"/>
        <v>6.6273448146268725</v>
      </c>
      <c r="AO7" s="7">
        <v>1.1000000000000001</v>
      </c>
      <c r="AP7" s="7">
        <v>0</v>
      </c>
      <c r="AQ7" s="7">
        <v>0</v>
      </c>
      <c r="AR7" s="7">
        <v>0</v>
      </c>
      <c r="AS7" s="7">
        <v>0</v>
      </c>
      <c r="AT7" s="7">
        <v>0</v>
      </c>
      <c r="AU7" s="7">
        <v>0</v>
      </c>
      <c r="AV7" s="7">
        <v>0</v>
      </c>
    </row>
    <row r="8" spans="1:48">
      <c r="A8" s="7" t="s">
        <v>244</v>
      </c>
      <c r="B8" s="7" t="s">
        <v>158</v>
      </c>
      <c r="C8" s="7">
        <v>0</v>
      </c>
      <c r="D8" s="7">
        <v>0.8</v>
      </c>
      <c r="E8" s="7">
        <v>1</v>
      </c>
      <c r="F8" s="7">
        <f t="shared" si="4"/>
        <v>25.660011963983361</v>
      </c>
      <c r="G8" s="7">
        <v>4</v>
      </c>
      <c r="H8" s="7">
        <f t="shared" si="5"/>
        <v>6.4150029909958404</v>
      </c>
      <c r="I8" s="7">
        <v>14</v>
      </c>
      <c r="J8" s="7">
        <v>0</v>
      </c>
      <c r="K8" s="7">
        <f t="shared" si="6"/>
        <v>161.22185516970748</v>
      </c>
      <c r="L8" s="7">
        <v>1</v>
      </c>
      <c r="M8" s="7">
        <v>1</v>
      </c>
      <c r="N8" s="7">
        <v>600</v>
      </c>
      <c r="O8" s="7">
        <f t="shared" si="0"/>
        <v>1200</v>
      </c>
      <c r="P8" s="7">
        <v>2</v>
      </c>
      <c r="Q8" s="7">
        <v>0.35</v>
      </c>
      <c r="R8" s="7">
        <f t="shared" si="1"/>
        <v>43.920371137240153</v>
      </c>
      <c r="S8" s="7">
        <f t="shared" si="7"/>
        <v>35.838709929352603</v>
      </c>
      <c r="T8" s="7">
        <v>1.1000000000000001</v>
      </c>
      <c r="U8" s="7">
        <v>0</v>
      </c>
      <c r="V8" s="7">
        <v>0</v>
      </c>
      <c r="W8" s="7">
        <v>0</v>
      </c>
      <c r="X8" s="7">
        <v>0</v>
      </c>
      <c r="Y8" s="7">
        <v>0</v>
      </c>
      <c r="Z8" s="7">
        <v>0</v>
      </c>
      <c r="AA8" s="7">
        <v>0</v>
      </c>
      <c r="AB8" s="7">
        <v>0</v>
      </c>
      <c r="AC8" s="7">
        <v>0</v>
      </c>
      <c r="AD8" s="7">
        <v>0</v>
      </c>
      <c r="AE8" s="7">
        <v>0</v>
      </c>
      <c r="AF8" s="7">
        <v>0</v>
      </c>
      <c r="AG8" s="7">
        <v>0</v>
      </c>
      <c r="AH8" s="7">
        <v>0</v>
      </c>
      <c r="AI8" s="7">
        <f t="shared" si="8"/>
        <v>64.8</v>
      </c>
      <c r="AJ8" s="7">
        <f t="shared" si="2"/>
        <v>129.6</v>
      </c>
      <c r="AK8" s="7">
        <v>1.8</v>
      </c>
      <c r="AL8" s="7">
        <v>0.4</v>
      </c>
      <c r="AM8" s="7">
        <v>20</v>
      </c>
      <c r="AN8" s="7">
        <f t="shared" si="3"/>
        <v>6.3673469387755093</v>
      </c>
      <c r="AO8" s="7">
        <v>1.1000000000000001</v>
      </c>
      <c r="AP8" s="7">
        <v>0</v>
      </c>
      <c r="AQ8" s="7">
        <v>0</v>
      </c>
      <c r="AR8" s="7">
        <v>0</v>
      </c>
      <c r="AS8" s="7">
        <v>0</v>
      </c>
      <c r="AT8" s="7">
        <v>0</v>
      </c>
      <c r="AU8" s="7">
        <v>0</v>
      </c>
      <c r="AV8" s="7">
        <v>0</v>
      </c>
    </row>
    <row r="9" spans="1:48">
      <c r="A9" s="7" t="s">
        <v>245</v>
      </c>
      <c r="B9" s="7" t="s">
        <v>158</v>
      </c>
      <c r="C9" s="7">
        <v>0</v>
      </c>
      <c r="D9" s="7">
        <v>0.8</v>
      </c>
      <c r="E9" s="7">
        <v>1</v>
      </c>
      <c r="F9" s="7">
        <f t="shared" si="4"/>
        <v>24.567591039669626</v>
      </c>
      <c r="G9" s="7">
        <v>4</v>
      </c>
      <c r="H9" s="7">
        <f t="shared" si="5"/>
        <v>6.1418977599174065</v>
      </c>
      <c r="I9" s="7">
        <v>14</v>
      </c>
      <c r="J9" s="7">
        <v>0</v>
      </c>
      <c r="K9" s="7">
        <f t="shared" si="6"/>
        <v>154.35817450224428</v>
      </c>
      <c r="L9" s="7">
        <v>1</v>
      </c>
      <c r="M9" s="7">
        <v>1</v>
      </c>
      <c r="N9" s="7">
        <v>550</v>
      </c>
      <c r="O9" s="7">
        <f t="shared" si="0"/>
        <v>1100</v>
      </c>
      <c r="P9" s="7">
        <v>2</v>
      </c>
      <c r="Q9" s="7">
        <v>0.35</v>
      </c>
      <c r="R9" s="7">
        <f t="shared" si="1"/>
        <v>43.920371137240153</v>
      </c>
      <c r="S9" s="7">
        <f t="shared" si="7"/>
        <v>35.838709929352603</v>
      </c>
      <c r="T9" s="7">
        <v>1.1000000000000001</v>
      </c>
      <c r="U9" s="7">
        <v>0</v>
      </c>
      <c r="V9" s="7">
        <v>0</v>
      </c>
      <c r="W9" s="7">
        <v>0</v>
      </c>
      <c r="X9" s="7">
        <v>0</v>
      </c>
      <c r="Y9" s="7">
        <v>0</v>
      </c>
      <c r="Z9" s="7">
        <v>0</v>
      </c>
      <c r="AA9" s="7">
        <v>0</v>
      </c>
      <c r="AB9" s="7">
        <v>0</v>
      </c>
      <c r="AC9" s="7">
        <v>0</v>
      </c>
      <c r="AD9" s="7">
        <v>0</v>
      </c>
      <c r="AE9" s="7">
        <v>0</v>
      </c>
      <c r="AF9" s="7">
        <v>0</v>
      </c>
      <c r="AG9" s="7">
        <v>0</v>
      </c>
      <c r="AH9" s="7">
        <v>0</v>
      </c>
      <c r="AI9" s="7">
        <f t="shared" si="8"/>
        <v>59.4</v>
      </c>
      <c r="AJ9" s="7">
        <f t="shared" si="2"/>
        <v>118.8</v>
      </c>
      <c r="AK9" s="7">
        <v>1.8</v>
      </c>
      <c r="AL9" s="7">
        <v>0.4</v>
      </c>
      <c r="AM9" s="7">
        <v>20</v>
      </c>
      <c r="AN9" s="7">
        <f t="shared" si="3"/>
        <v>6.0962705636730101</v>
      </c>
      <c r="AO9" s="7">
        <v>1.1000000000000001</v>
      </c>
      <c r="AP9" s="7">
        <v>0</v>
      </c>
      <c r="AQ9" s="7">
        <v>0</v>
      </c>
      <c r="AR9" s="7">
        <v>0</v>
      </c>
      <c r="AS9" s="7">
        <v>0</v>
      </c>
      <c r="AT9" s="7">
        <v>0</v>
      </c>
      <c r="AU9" s="7">
        <v>0</v>
      </c>
      <c r="AV9" s="7">
        <v>0</v>
      </c>
    </row>
    <row r="10" spans="1:48">
      <c r="A10" s="7" t="s">
        <v>246</v>
      </c>
      <c r="B10" s="7" t="s">
        <v>158</v>
      </c>
      <c r="C10" s="7">
        <v>0</v>
      </c>
      <c r="D10" s="7">
        <v>0.8</v>
      </c>
      <c r="E10" s="7">
        <v>1</v>
      </c>
      <c r="F10" s="7">
        <f t="shared" si="4"/>
        <v>23.424278964210217</v>
      </c>
      <c r="G10" s="7">
        <v>4</v>
      </c>
      <c r="H10" s="7">
        <f t="shared" si="5"/>
        <v>5.8560697410525542</v>
      </c>
      <c r="I10" s="7">
        <v>14</v>
      </c>
      <c r="J10" s="7">
        <v>0</v>
      </c>
      <c r="K10" s="7">
        <f t="shared" si="6"/>
        <v>147.17474473213281</v>
      </c>
      <c r="L10" s="7">
        <v>1</v>
      </c>
      <c r="M10" s="7">
        <v>1</v>
      </c>
      <c r="N10" s="7">
        <v>500</v>
      </c>
      <c r="O10" s="7">
        <f t="shared" si="0"/>
        <v>1000</v>
      </c>
      <c r="P10" s="7">
        <v>2</v>
      </c>
      <c r="Q10" s="7">
        <v>0.35</v>
      </c>
      <c r="R10" s="7">
        <f t="shared" si="1"/>
        <v>43.920371137240153</v>
      </c>
      <c r="S10" s="7">
        <f t="shared" si="7"/>
        <v>35.838709929352603</v>
      </c>
      <c r="T10" s="7">
        <v>1.1000000000000001</v>
      </c>
      <c r="U10" s="7">
        <v>0</v>
      </c>
      <c r="V10" s="7">
        <v>0</v>
      </c>
      <c r="W10" s="7">
        <v>0</v>
      </c>
      <c r="X10" s="7">
        <v>0</v>
      </c>
      <c r="Y10" s="7">
        <v>0</v>
      </c>
      <c r="Z10" s="7">
        <v>0</v>
      </c>
      <c r="AA10" s="7">
        <v>0</v>
      </c>
      <c r="AB10" s="7">
        <v>0</v>
      </c>
      <c r="AC10" s="7">
        <v>0</v>
      </c>
      <c r="AD10" s="7">
        <v>0</v>
      </c>
      <c r="AE10" s="7">
        <v>0</v>
      </c>
      <c r="AF10" s="7">
        <v>0</v>
      </c>
      <c r="AG10" s="7">
        <v>0</v>
      </c>
      <c r="AH10" s="7">
        <v>0</v>
      </c>
      <c r="AI10" s="7">
        <f t="shared" si="8"/>
        <v>54</v>
      </c>
      <c r="AJ10" s="7">
        <f t="shared" si="2"/>
        <v>108</v>
      </c>
      <c r="AK10" s="7">
        <v>1.8</v>
      </c>
      <c r="AL10" s="7">
        <v>0.4</v>
      </c>
      <c r="AM10" s="7">
        <v>20</v>
      </c>
      <c r="AN10" s="7">
        <f t="shared" si="3"/>
        <v>5.812565916381355</v>
      </c>
      <c r="AO10" s="7">
        <v>1.1000000000000001</v>
      </c>
      <c r="AP10" s="7">
        <v>0</v>
      </c>
      <c r="AQ10" s="7">
        <v>0</v>
      </c>
      <c r="AR10" s="7">
        <v>0</v>
      </c>
      <c r="AS10" s="7">
        <v>0</v>
      </c>
      <c r="AT10" s="7">
        <v>0</v>
      </c>
      <c r="AU10" s="7">
        <v>0</v>
      </c>
      <c r="AV10" s="7">
        <v>0</v>
      </c>
    </row>
    <row r="11" spans="1:48">
      <c r="A11" s="7" t="s">
        <v>247</v>
      </c>
      <c r="B11" s="7" t="s">
        <v>158</v>
      </c>
      <c r="C11" s="7">
        <v>0</v>
      </c>
      <c r="D11" s="7">
        <v>0.8</v>
      </c>
      <c r="E11" s="7">
        <v>1</v>
      </c>
      <c r="F11" s="7">
        <f t="shared" si="4"/>
        <v>22.222222222222221</v>
      </c>
      <c r="G11" s="7">
        <v>4</v>
      </c>
      <c r="H11" s="7">
        <f t="shared" si="5"/>
        <v>5.5555555555555554</v>
      </c>
      <c r="I11" s="7">
        <v>14</v>
      </c>
      <c r="J11" s="7">
        <v>0</v>
      </c>
      <c r="K11" s="7">
        <f t="shared" si="6"/>
        <v>139.62222222222223</v>
      </c>
      <c r="L11" s="7">
        <v>1</v>
      </c>
      <c r="M11" s="7">
        <v>1</v>
      </c>
      <c r="N11" s="7">
        <v>450</v>
      </c>
      <c r="O11" s="7">
        <f t="shared" si="0"/>
        <v>900</v>
      </c>
      <c r="P11" s="7">
        <v>2</v>
      </c>
      <c r="Q11" s="7">
        <v>0.35</v>
      </c>
      <c r="R11" s="7">
        <f>ATAN(-TAN(0*3.1415/180)+(4*(1-Q11))/((1+Q11)*P11))*180/3.1415</f>
        <v>43.920371137240153</v>
      </c>
      <c r="S11" s="7">
        <f t="shared" si="7"/>
        <v>35.838709929352603</v>
      </c>
      <c r="T11" s="7">
        <v>1.1000000000000001</v>
      </c>
      <c r="U11" s="7">
        <v>0</v>
      </c>
      <c r="V11" s="7">
        <v>0</v>
      </c>
      <c r="W11" s="7">
        <v>0</v>
      </c>
      <c r="X11" s="7">
        <v>0</v>
      </c>
      <c r="Y11" s="7">
        <v>0</v>
      </c>
      <c r="Z11" s="7">
        <v>0</v>
      </c>
      <c r="AA11" s="7">
        <v>0</v>
      </c>
      <c r="AB11" s="7">
        <v>0</v>
      </c>
      <c r="AC11" s="7">
        <v>0</v>
      </c>
      <c r="AD11" s="7">
        <v>0</v>
      </c>
      <c r="AE11" s="7">
        <v>0</v>
      </c>
      <c r="AF11" s="7">
        <v>0</v>
      </c>
      <c r="AG11" s="7">
        <v>0</v>
      </c>
      <c r="AH11" s="7">
        <v>0</v>
      </c>
      <c r="AI11" s="7">
        <f t="shared" si="8"/>
        <v>48.6</v>
      </c>
      <c r="AJ11" s="7">
        <f t="shared" si="2"/>
        <v>97.2</v>
      </c>
      <c r="AK11" s="7">
        <v>1.8</v>
      </c>
      <c r="AL11" s="7">
        <v>0.4</v>
      </c>
      <c r="AM11" s="7">
        <v>20</v>
      </c>
      <c r="AN11" s="7">
        <f t="shared" si="3"/>
        <v>5.5142842036886703</v>
      </c>
      <c r="AO11" s="7">
        <v>1.1000000000000001</v>
      </c>
      <c r="AP11" s="7">
        <v>0</v>
      </c>
      <c r="AQ11" s="7">
        <v>0</v>
      </c>
      <c r="AR11" s="7">
        <v>0</v>
      </c>
      <c r="AS11" s="7">
        <v>0</v>
      </c>
      <c r="AT11" s="7">
        <v>0</v>
      </c>
      <c r="AU11" s="7">
        <v>0</v>
      </c>
      <c r="AV11" s="7">
        <v>0</v>
      </c>
    </row>
    <row r="15" spans="1:48" s="20" customFormat="1"/>
  </sheetData>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Lists!$B$2:$B$19</xm:f>
          </x14:formula1>
          <x14:formula2>
            <xm:f>0</xm:f>
          </x14:formula2>
          <xm:sqref>B17:B19 B12:B14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21"/>
  <sheetViews>
    <sheetView zoomScaleNormal="100" workbookViewId="0">
      <selection activeCell="D14" sqref="D14"/>
    </sheetView>
  </sheetViews>
  <sheetFormatPr defaultRowHeight="14.4"/>
  <cols>
    <col min="1" max="1" width="21.21875" style="21" customWidth="1"/>
    <col min="2" max="2" width="11.77734375" style="21" customWidth="1"/>
    <col min="3" max="42" width="8.77734375" style="21" customWidth="1"/>
    <col min="43" max="43" width="11.77734375" style="21" customWidth="1"/>
    <col min="44" max="44" width="8.77734375" style="21" customWidth="1"/>
    <col min="45" max="45" width="9.77734375" style="21" customWidth="1"/>
    <col min="46" max="46" width="11.77734375" style="21" customWidth="1"/>
    <col min="47" max="47" width="8.77734375" style="21" customWidth="1"/>
    <col min="48" max="49" width="10.33203125" style="21" customWidth="1"/>
    <col min="50" max="50" width="8.77734375" style="21" customWidth="1"/>
    <col min="51" max="51" width="10.33203125" style="21" customWidth="1"/>
    <col min="52" max="52" width="11.77734375" style="21" customWidth="1"/>
    <col min="53" max="1025" width="8.77734375" style="21" customWidth="1"/>
  </cols>
  <sheetData>
    <row r="1" spans="1:54">
      <c r="A1" s="22" t="s">
        <v>56</v>
      </c>
      <c r="B1" s="22" t="s">
        <v>58</v>
      </c>
      <c r="C1" s="22" t="s">
        <v>60</v>
      </c>
      <c r="D1" s="22" t="s">
        <v>62</v>
      </c>
      <c r="E1" s="22" t="s">
        <v>159</v>
      </c>
      <c r="F1" s="22" t="s">
        <v>160</v>
      </c>
      <c r="G1" s="22" t="s">
        <v>161</v>
      </c>
      <c r="H1" s="22" t="s">
        <v>162</v>
      </c>
      <c r="I1" s="22" t="s">
        <v>163</v>
      </c>
      <c r="J1" s="22" t="s">
        <v>164</v>
      </c>
      <c r="K1" s="22" t="s">
        <v>165</v>
      </c>
      <c r="L1" s="22" t="s">
        <v>166</v>
      </c>
      <c r="M1" s="22" t="s">
        <v>167</v>
      </c>
      <c r="N1" s="22" t="s">
        <v>168</v>
      </c>
      <c r="O1" s="22" t="s">
        <v>169</v>
      </c>
      <c r="P1" s="22" t="s">
        <v>170</v>
      </c>
      <c r="Q1" s="22" t="s">
        <v>171</v>
      </c>
      <c r="R1" s="22" t="s">
        <v>172</v>
      </c>
      <c r="S1" s="22" t="s">
        <v>173</v>
      </c>
      <c r="T1" s="22" t="s">
        <v>174</v>
      </c>
      <c r="U1" s="22" t="s">
        <v>175</v>
      </c>
      <c r="V1" s="22" t="s">
        <v>176</v>
      </c>
      <c r="W1" s="22" t="s">
        <v>66</v>
      </c>
      <c r="X1" s="22" t="s">
        <v>177</v>
      </c>
      <c r="Y1" s="22" t="s">
        <v>178</v>
      </c>
      <c r="Z1" s="22" t="s">
        <v>179</v>
      </c>
      <c r="AA1" s="22" t="s">
        <v>180</v>
      </c>
      <c r="AB1" s="22" t="s">
        <v>181</v>
      </c>
      <c r="AC1" s="22" t="s">
        <v>182</v>
      </c>
      <c r="AD1" s="22" t="s">
        <v>183</v>
      </c>
      <c r="AE1" s="22" t="s">
        <v>184</v>
      </c>
      <c r="AF1" s="22" t="s">
        <v>185</v>
      </c>
      <c r="AG1" s="22" t="s">
        <v>186</v>
      </c>
      <c r="AH1" s="22" t="s">
        <v>187</v>
      </c>
      <c r="AI1" s="22" t="s">
        <v>188</v>
      </c>
      <c r="AJ1" s="22" t="s">
        <v>189</v>
      </c>
      <c r="AK1" s="22" t="s">
        <v>190</v>
      </c>
      <c r="AL1" s="22" t="s">
        <v>191</v>
      </c>
      <c r="AM1" s="22" t="s">
        <v>192</v>
      </c>
      <c r="AN1" s="22" t="s">
        <v>193</v>
      </c>
      <c r="AO1" s="22" t="s">
        <v>194</v>
      </c>
      <c r="AP1" s="22" t="s">
        <v>70</v>
      </c>
      <c r="AQ1" s="22" t="s">
        <v>72</v>
      </c>
      <c r="AR1" s="22" t="s">
        <v>74</v>
      </c>
      <c r="AS1" s="22" t="s">
        <v>76</v>
      </c>
      <c r="AT1" s="22" t="s">
        <v>78</v>
      </c>
      <c r="AU1" s="22" t="s">
        <v>80</v>
      </c>
      <c r="AV1" s="22" t="s">
        <v>82</v>
      </c>
      <c r="AW1" s="22" t="s">
        <v>84</v>
      </c>
      <c r="AX1" s="22" t="s">
        <v>86</v>
      </c>
      <c r="AY1" s="22" t="s">
        <v>88</v>
      </c>
      <c r="AZ1" s="22" t="s">
        <v>90</v>
      </c>
      <c r="BA1" s="22" t="s">
        <v>92</v>
      </c>
      <c r="BB1" s="22" t="s">
        <v>94</v>
      </c>
    </row>
    <row r="2" spans="1:54">
      <c r="A2" s="21" t="str">
        <f>Main_Input!A2</f>
        <v>JetSubmersible_FW1.1</v>
      </c>
      <c r="B2" s="21" t="s">
        <v>237</v>
      </c>
      <c r="C2" s="21">
        <v>0.12</v>
      </c>
      <c r="D2" s="21">
        <v>0.3</v>
      </c>
      <c r="E2" s="21">
        <v>-0.42009999999999997</v>
      </c>
      <c r="F2" s="21">
        <v>-0.31630000000000003</v>
      </c>
      <c r="G2" s="21">
        <v>-0.2082</v>
      </c>
      <c r="H2" s="21">
        <v>-9.9000000000000005E-2</v>
      </c>
      <c r="I2" s="21">
        <v>1.03E-2</v>
      </c>
      <c r="J2" s="21">
        <v>9.8400000000000001E-2</v>
      </c>
      <c r="K2" s="21">
        <v>0.2044</v>
      </c>
      <c r="L2" s="21">
        <v>0.31480000000000002</v>
      </c>
      <c r="M2" s="21">
        <v>0.44740000000000002</v>
      </c>
      <c r="N2" s="21">
        <v>0.58460000000000001</v>
      </c>
      <c r="O2" s="21">
        <v>0.72040000000000004</v>
      </c>
      <c r="P2" s="21">
        <v>0.85570000000000002</v>
      </c>
      <c r="Q2" s="21">
        <v>0.97260000000000002</v>
      </c>
      <c r="R2" s="21">
        <v>1.0646</v>
      </c>
      <c r="S2" s="21">
        <v>1.1528</v>
      </c>
      <c r="T2" s="21">
        <v>1.2350000000000001</v>
      </c>
      <c r="U2" s="21">
        <v>1.3119000000000001</v>
      </c>
      <c r="V2" s="21">
        <v>1.3852</v>
      </c>
      <c r="W2" s="21">
        <v>1.5014000000000001</v>
      </c>
      <c r="X2" s="21">
        <v>1.01E-2</v>
      </c>
      <c r="Y2" s="21">
        <v>9.4400000000000005E-3</v>
      </c>
      <c r="Z2" s="21">
        <v>9.1299999999999992E-3</v>
      </c>
      <c r="AA2" s="21">
        <v>8.8599999999999998E-3</v>
      </c>
      <c r="AB2" s="21">
        <v>8.5400000000000007E-3</v>
      </c>
      <c r="AC2" s="21">
        <v>6.2300000000000003E-3</v>
      </c>
      <c r="AD2" s="21">
        <v>6.3600000000000002E-3</v>
      </c>
      <c r="AE2" s="21">
        <v>6.8300000000000001E-3</v>
      </c>
      <c r="AF2" s="21">
        <v>7.3299999999999997E-3</v>
      </c>
      <c r="AG2" s="21">
        <v>7.8200000000000006E-3</v>
      </c>
      <c r="AH2" s="21">
        <v>8.26E-3</v>
      </c>
      <c r="AI2" s="21">
        <v>8.7799999999999996E-3</v>
      </c>
      <c r="AJ2" s="21">
        <v>9.3799999999999994E-3</v>
      </c>
      <c r="AK2" s="21">
        <v>1.013E-2</v>
      </c>
      <c r="AL2" s="21">
        <v>1.115E-2</v>
      </c>
      <c r="AM2" s="21">
        <v>1.269E-2</v>
      </c>
      <c r="AN2" s="21">
        <v>1.4760000000000001E-2</v>
      </c>
      <c r="AO2" s="21">
        <v>1.7250000000000001E-2</v>
      </c>
      <c r="AP2" s="21">
        <v>6.1900000000000002E-3</v>
      </c>
      <c r="AQ2" s="21" t="s">
        <v>196</v>
      </c>
      <c r="AR2" s="21">
        <v>0.04</v>
      </c>
      <c r="AS2" s="21">
        <v>0.3</v>
      </c>
      <c r="AT2" s="21">
        <v>0</v>
      </c>
      <c r="AU2" s="21">
        <v>0</v>
      </c>
      <c r="AV2" s="21">
        <v>0</v>
      </c>
      <c r="AW2" s="21" t="s">
        <v>196</v>
      </c>
      <c r="AX2" s="21">
        <v>0.04</v>
      </c>
      <c r="AY2" s="21">
        <v>0.3</v>
      </c>
      <c r="AZ2" s="21">
        <v>0</v>
      </c>
      <c r="BA2" s="21">
        <v>0</v>
      </c>
      <c r="BB2" s="21">
        <v>0</v>
      </c>
    </row>
    <row r="3" spans="1:54">
      <c r="A3" s="21" t="str">
        <f>Main_Input!A3</f>
        <v>JetSubmersible_FW1.2</v>
      </c>
      <c r="B3" s="21" t="s">
        <v>237</v>
      </c>
      <c r="C3" s="21">
        <v>0.12</v>
      </c>
      <c r="D3" s="21">
        <v>0.3</v>
      </c>
      <c r="E3" s="21">
        <v>-0.42009999999999997</v>
      </c>
      <c r="F3" s="21">
        <v>-0.31630000000000003</v>
      </c>
      <c r="G3" s="21">
        <v>-0.2082</v>
      </c>
      <c r="H3" s="21">
        <v>-9.9000000000000005E-2</v>
      </c>
      <c r="I3" s="21">
        <v>1.03E-2</v>
      </c>
      <c r="J3" s="21">
        <v>9.8400000000000001E-2</v>
      </c>
      <c r="K3" s="21">
        <v>0.2044</v>
      </c>
      <c r="L3" s="21">
        <v>0.31480000000000002</v>
      </c>
      <c r="M3" s="21">
        <v>0.44740000000000002</v>
      </c>
      <c r="N3" s="21">
        <v>0.58460000000000001</v>
      </c>
      <c r="O3" s="21">
        <v>0.72040000000000004</v>
      </c>
      <c r="P3" s="21">
        <v>0.85570000000000002</v>
      </c>
      <c r="Q3" s="21">
        <v>0.97260000000000002</v>
      </c>
      <c r="R3" s="21">
        <v>1.0646</v>
      </c>
      <c r="S3" s="21">
        <v>1.1528</v>
      </c>
      <c r="T3" s="21">
        <v>1.2350000000000001</v>
      </c>
      <c r="U3" s="21">
        <v>1.3119000000000001</v>
      </c>
      <c r="V3" s="21">
        <v>1.3852</v>
      </c>
      <c r="W3" s="21">
        <v>1.5014000000000001</v>
      </c>
      <c r="X3" s="21">
        <v>1.01E-2</v>
      </c>
      <c r="Y3" s="21">
        <v>9.4400000000000005E-3</v>
      </c>
      <c r="Z3" s="21">
        <v>9.1299999999999992E-3</v>
      </c>
      <c r="AA3" s="21">
        <v>8.8599999999999998E-3</v>
      </c>
      <c r="AB3" s="21">
        <v>8.5400000000000007E-3</v>
      </c>
      <c r="AC3" s="21">
        <v>6.2300000000000003E-3</v>
      </c>
      <c r="AD3" s="21">
        <v>6.3600000000000002E-3</v>
      </c>
      <c r="AE3" s="21">
        <v>6.8300000000000001E-3</v>
      </c>
      <c r="AF3" s="21">
        <v>7.3299999999999997E-3</v>
      </c>
      <c r="AG3" s="21">
        <v>7.8200000000000006E-3</v>
      </c>
      <c r="AH3" s="21">
        <v>8.26E-3</v>
      </c>
      <c r="AI3" s="21">
        <v>8.7799999999999996E-3</v>
      </c>
      <c r="AJ3" s="21">
        <v>9.3799999999999994E-3</v>
      </c>
      <c r="AK3" s="21">
        <v>1.013E-2</v>
      </c>
      <c r="AL3" s="21">
        <v>1.115E-2</v>
      </c>
      <c r="AM3" s="21">
        <v>1.269E-2</v>
      </c>
      <c r="AN3" s="21">
        <v>1.4760000000000001E-2</v>
      </c>
      <c r="AO3" s="21">
        <v>1.7250000000000001E-2</v>
      </c>
      <c r="AP3" s="21">
        <v>6.1900000000000002E-3</v>
      </c>
      <c r="AQ3" s="21" t="s">
        <v>196</v>
      </c>
      <c r="AR3" s="21">
        <v>0.04</v>
      </c>
      <c r="AS3" s="21">
        <v>0.3</v>
      </c>
      <c r="AT3" s="21">
        <v>0</v>
      </c>
      <c r="AU3" s="21">
        <v>0</v>
      </c>
      <c r="AV3" s="21">
        <v>0</v>
      </c>
      <c r="AW3" s="21" t="s">
        <v>196</v>
      </c>
      <c r="AX3" s="21">
        <v>0.04</v>
      </c>
      <c r="AY3" s="21">
        <v>0.3</v>
      </c>
      <c r="AZ3" s="21">
        <v>0</v>
      </c>
      <c r="BA3" s="21">
        <v>0</v>
      </c>
      <c r="BB3" s="21">
        <v>0</v>
      </c>
    </row>
    <row r="4" spans="1:54">
      <c r="A4" s="21" t="str">
        <f>Main_Input!A4</f>
        <v>JetSubmersible_FW1.3</v>
      </c>
      <c r="B4" s="21" t="s">
        <v>237</v>
      </c>
      <c r="C4" s="21">
        <v>0.12</v>
      </c>
      <c r="D4" s="21">
        <v>0.3</v>
      </c>
      <c r="E4" s="21">
        <v>-0.42009999999999997</v>
      </c>
      <c r="F4" s="21">
        <v>-0.31630000000000003</v>
      </c>
      <c r="G4" s="21">
        <v>-0.2082</v>
      </c>
      <c r="H4" s="21">
        <v>-9.9000000000000005E-2</v>
      </c>
      <c r="I4" s="21">
        <v>1.03E-2</v>
      </c>
      <c r="J4" s="21">
        <v>9.8400000000000001E-2</v>
      </c>
      <c r="K4" s="21">
        <v>0.2044</v>
      </c>
      <c r="L4" s="21">
        <v>0.31480000000000002</v>
      </c>
      <c r="M4" s="21">
        <v>0.44740000000000002</v>
      </c>
      <c r="N4" s="21">
        <v>0.58460000000000001</v>
      </c>
      <c r="O4" s="21">
        <v>0.72040000000000004</v>
      </c>
      <c r="P4" s="21">
        <v>0.85570000000000002</v>
      </c>
      <c r="Q4" s="21">
        <v>0.97260000000000002</v>
      </c>
      <c r="R4" s="21">
        <v>1.0646</v>
      </c>
      <c r="S4" s="21">
        <v>1.1528</v>
      </c>
      <c r="T4" s="21">
        <v>1.2350000000000001</v>
      </c>
      <c r="U4" s="21">
        <v>1.3119000000000001</v>
      </c>
      <c r="V4" s="21">
        <v>1.3852</v>
      </c>
      <c r="W4" s="21">
        <v>1.5014000000000001</v>
      </c>
      <c r="X4" s="21">
        <v>1.01E-2</v>
      </c>
      <c r="Y4" s="21">
        <v>9.4400000000000005E-3</v>
      </c>
      <c r="Z4" s="21">
        <v>9.1299999999999992E-3</v>
      </c>
      <c r="AA4" s="21">
        <v>8.8599999999999998E-3</v>
      </c>
      <c r="AB4" s="21">
        <v>8.5400000000000007E-3</v>
      </c>
      <c r="AC4" s="21">
        <v>6.2300000000000003E-3</v>
      </c>
      <c r="AD4" s="21">
        <v>6.3600000000000002E-3</v>
      </c>
      <c r="AE4" s="21">
        <v>6.8300000000000001E-3</v>
      </c>
      <c r="AF4" s="21">
        <v>7.3299999999999997E-3</v>
      </c>
      <c r="AG4" s="21">
        <v>7.8200000000000006E-3</v>
      </c>
      <c r="AH4" s="21">
        <v>8.26E-3</v>
      </c>
      <c r="AI4" s="21">
        <v>8.7799999999999996E-3</v>
      </c>
      <c r="AJ4" s="21">
        <v>9.3799999999999994E-3</v>
      </c>
      <c r="AK4" s="21">
        <v>1.013E-2</v>
      </c>
      <c r="AL4" s="21">
        <v>1.115E-2</v>
      </c>
      <c r="AM4" s="21">
        <v>1.269E-2</v>
      </c>
      <c r="AN4" s="21">
        <v>1.4760000000000001E-2</v>
      </c>
      <c r="AO4" s="21">
        <v>1.7250000000000001E-2</v>
      </c>
      <c r="AP4" s="21">
        <v>6.1900000000000002E-3</v>
      </c>
      <c r="AQ4" s="21" t="s">
        <v>196</v>
      </c>
      <c r="AR4" s="21">
        <v>0.04</v>
      </c>
      <c r="AS4" s="21">
        <v>0.3</v>
      </c>
      <c r="AT4" s="21">
        <v>0</v>
      </c>
      <c r="AU4" s="21">
        <v>0</v>
      </c>
      <c r="AV4" s="21">
        <v>0</v>
      </c>
      <c r="AW4" s="21" t="s">
        <v>196</v>
      </c>
      <c r="AX4" s="21">
        <v>0.04</v>
      </c>
      <c r="AY4" s="21">
        <v>0.3</v>
      </c>
      <c r="AZ4" s="21">
        <v>0</v>
      </c>
      <c r="BA4" s="21">
        <v>0</v>
      </c>
      <c r="BB4" s="21">
        <v>0</v>
      </c>
    </row>
    <row r="5" spans="1:54">
      <c r="A5" s="21" t="str">
        <f>Main_Input!A5</f>
        <v>JetSubmersible_FW1.4</v>
      </c>
      <c r="B5" s="21" t="s">
        <v>237</v>
      </c>
      <c r="C5" s="21">
        <v>0.12</v>
      </c>
      <c r="D5" s="21">
        <v>0.3</v>
      </c>
      <c r="E5" s="21">
        <v>-0.42009999999999997</v>
      </c>
      <c r="F5" s="21">
        <v>-0.31630000000000003</v>
      </c>
      <c r="G5" s="21">
        <v>-0.2082</v>
      </c>
      <c r="H5" s="21">
        <v>-9.9000000000000005E-2</v>
      </c>
      <c r="I5" s="21">
        <v>1.03E-2</v>
      </c>
      <c r="J5" s="21">
        <v>9.8400000000000001E-2</v>
      </c>
      <c r="K5" s="21">
        <v>0.2044</v>
      </c>
      <c r="L5" s="21">
        <v>0.31480000000000002</v>
      </c>
      <c r="M5" s="21">
        <v>0.44740000000000002</v>
      </c>
      <c r="N5" s="21">
        <v>0.58460000000000001</v>
      </c>
      <c r="O5" s="21">
        <v>0.72040000000000004</v>
      </c>
      <c r="P5" s="21">
        <v>0.85570000000000002</v>
      </c>
      <c r="Q5" s="21">
        <v>0.97260000000000002</v>
      </c>
      <c r="R5" s="21">
        <v>1.0646</v>
      </c>
      <c r="S5" s="21">
        <v>1.1528</v>
      </c>
      <c r="T5" s="21">
        <v>1.2350000000000001</v>
      </c>
      <c r="U5" s="21">
        <v>1.3119000000000001</v>
      </c>
      <c r="V5" s="21">
        <v>1.3852</v>
      </c>
      <c r="W5" s="21">
        <v>1.5014000000000001</v>
      </c>
      <c r="X5" s="21">
        <v>1.01E-2</v>
      </c>
      <c r="Y5" s="21">
        <v>9.4400000000000005E-3</v>
      </c>
      <c r="Z5" s="21">
        <v>9.1299999999999992E-3</v>
      </c>
      <c r="AA5" s="21">
        <v>8.8599999999999998E-3</v>
      </c>
      <c r="AB5" s="21">
        <v>8.5400000000000007E-3</v>
      </c>
      <c r="AC5" s="21">
        <v>6.2300000000000003E-3</v>
      </c>
      <c r="AD5" s="21">
        <v>6.3600000000000002E-3</v>
      </c>
      <c r="AE5" s="21">
        <v>6.8300000000000001E-3</v>
      </c>
      <c r="AF5" s="21">
        <v>7.3299999999999997E-3</v>
      </c>
      <c r="AG5" s="21">
        <v>7.8200000000000006E-3</v>
      </c>
      <c r="AH5" s="21">
        <v>8.26E-3</v>
      </c>
      <c r="AI5" s="21">
        <v>8.7799999999999996E-3</v>
      </c>
      <c r="AJ5" s="21">
        <v>9.3799999999999994E-3</v>
      </c>
      <c r="AK5" s="21">
        <v>1.013E-2</v>
      </c>
      <c r="AL5" s="21">
        <v>1.115E-2</v>
      </c>
      <c r="AM5" s="21">
        <v>1.269E-2</v>
      </c>
      <c r="AN5" s="21">
        <v>1.4760000000000001E-2</v>
      </c>
      <c r="AO5" s="21">
        <v>1.7250000000000001E-2</v>
      </c>
      <c r="AP5" s="21">
        <v>6.1900000000000002E-3</v>
      </c>
      <c r="AQ5" s="21" t="s">
        <v>196</v>
      </c>
      <c r="AR5" s="21">
        <v>0.04</v>
      </c>
      <c r="AS5" s="21">
        <v>0.3</v>
      </c>
      <c r="AT5" s="21">
        <v>0</v>
      </c>
      <c r="AU5" s="21">
        <v>0</v>
      </c>
      <c r="AV5" s="21">
        <v>0</v>
      </c>
      <c r="AW5" s="21" t="s">
        <v>196</v>
      </c>
      <c r="AX5" s="21">
        <v>0.04</v>
      </c>
      <c r="AY5" s="21">
        <v>0.3</v>
      </c>
      <c r="AZ5" s="21">
        <v>0</v>
      </c>
      <c r="BA5" s="21">
        <v>0</v>
      </c>
      <c r="BB5" s="21">
        <v>0</v>
      </c>
    </row>
    <row r="6" spans="1:54">
      <c r="A6" s="21" t="str">
        <f>Main_Input!A6</f>
        <v>JetSubmersible_FW1.5</v>
      </c>
      <c r="B6" s="21" t="s">
        <v>237</v>
      </c>
      <c r="C6" s="21">
        <v>0.12</v>
      </c>
      <c r="D6" s="21">
        <v>0.3</v>
      </c>
      <c r="E6" s="21">
        <v>-0.42009999999999997</v>
      </c>
      <c r="F6" s="21">
        <v>-0.31630000000000003</v>
      </c>
      <c r="G6" s="21">
        <v>-0.2082</v>
      </c>
      <c r="H6" s="21">
        <v>-9.9000000000000005E-2</v>
      </c>
      <c r="I6" s="21">
        <v>1.03E-2</v>
      </c>
      <c r="J6" s="21">
        <v>9.8400000000000001E-2</v>
      </c>
      <c r="K6" s="21">
        <v>0.2044</v>
      </c>
      <c r="L6" s="21">
        <v>0.31480000000000002</v>
      </c>
      <c r="M6" s="21">
        <v>0.44740000000000002</v>
      </c>
      <c r="N6" s="21">
        <v>0.58460000000000001</v>
      </c>
      <c r="O6" s="21">
        <v>0.72040000000000004</v>
      </c>
      <c r="P6" s="21">
        <v>0.85570000000000002</v>
      </c>
      <c r="Q6" s="21">
        <v>0.97260000000000002</v>
      </c>
      <c r="R6" s="21">
        <v>1.0646</v>
      </c>
      <c r="S6" s="21">
        <v>1.1528</v>
      </c>
      <c r="T6" s="21">
        <v>1.2350000000000001</v>
      </c>
      <c r="U6" s="21">
        <v>1.3119000000000001</v>
      </c>
      <c r="V6" s="21">
        <v>1.3852</v>
      </c>
      <c r="W6" s="21">
        <v>1.5014000000000001</v>
      </c>
      <c r="X6" s="21">
        <v>1.01E-2</v>
      </c>
      <c r="Y6" s="21">
        <v>9.4400000000000005E-3</v>
      </c>
      <c r="Z6" s="21">
        <v>9.1299999999999992E-3</v>
      </c>
      <c r="AA6" s="21">
        <v>8.8599999999999998E-3</v>
      </c>
      <c r="AB6" s="21">
        <v>8.5400000000000007E-3</v>
      </c>
      <c r="AC6" s="21">
        <v>6.2300000000000003E-3</v>
      </c>
      <c r="AD6" s="21">
        <v>6.3600000000000002E-3</v>
      </c>
      <c r="AE6" s="21">
        <v>6.8300000000000001E-3</v>
      </c>
      <c r="AF6" s="21">
        <v>7.3299999999999997E-3</v>
      </c>
      <c r="AG6" s="21">
        <v>7.8200000000000006E-3</v>
      </c>
      <c r="AH6" s="21">
        <v>8.26E-3</v>
      </c>
      <c r="AI6" s="21">
        <v>8.7799999999999996E-3</v>
      </c>
      <c r="AJ6" s="21">
        <v>9.3799999999999994E-3</v>
      </c>
      <c r="AK6" s="21">
        <v>1.013E-2</v>
      </c>
      <c r="AL6" s="21">
        <v>1.115E-2</v>
      </c>
      <c r="AM6" s="21">
        <v>1.269E-2</v>
      </c>
      <c r="AN6" s="21">
        <v>1.4760000000000001E-2</v>
      </c>
      <c r="AO6" s="21">
        <v>1.7250000000000001E-2</v>
      </c>
      <c r="AP6" s="21">
        <v>6.1900000000000002E-3</v>
      </c>
      <c r="AQ6" s="21" t="s">
        <v>196</v>
      </c>
      <c r="AR6" s="21">
        <v>0.04</v>
      </c>
      <c r="AS6" s="21">
        <v>0.3</v>
      </c>
      <c r="AT6" s="21">
        <v>0</v>
      </c>
      <c r="AU6" s="21">
        <v>0</v>
      </c>
      <c r="AV6" s="21">
        <v>0</v>
      </c>
      <c r="AW6" s="21" t="s">
        <v>196</v>
      </c>
      <c r="AX6" s="21">
        <v>0.04</v>
      </c>
      <c r="AY6" s="21">
        <v>0.3</v>
      </c>
      <c r="AZ6" s="21">
        <v>0</v>
      </c>
      <c r="BA6" s="21">
        <v>0</v>
      </c>
      <c r="BB6" s="21">
        <v>0</v>
      </c>
    </row>
    <row r="7" spans="1:54">
      <c r="A7" s="21" t="str">
        <f>Main_Input!A7</f>
        <v>JetSubmersible_FW2.1</v>
      </c>
      <c r="B7" s="21" t="s">
        <v>237</v>
      </c>
      <c r="C7" s="21">
        <v>0.12</v>
      </c>
      <c r="D7" s="21">
        <v>0.3</v>
      </c>
      <c r="E7" s="21">
        <v>-0.42009999999999997</v>
      </c>
      <c r="F7" s="21">
        <v>-0.31630000000000003</v>
      </c>
      <c r="G7" s="21">
        <v>-0.2082</v>
      </c>
      <c r="H7" s="21">
        <v>-9.9000000000000005E-2</v>
      </c>
      <c r="I7" s="21">
        <v>1.03E-2</v>
      </c>
      <c r="J7" s="21">
        <v>9.8400000000000001E-2</v>
      </c>
      <c r="K7" s="21">
        <v>0.2044</v>
      </c>
      <c r="L7" s="21">
        <v>0.31480000000000002</v>
      </c>
      <c r="M7" s="21">
        <v>0.44740000000000002</v>
      </c>
      <c r="N7" s="21">
        <v>0.58460000000000001</v>
      </c>
      <c r="O7" s="21">
        <v>0.72040000000000004</v>
      </c>
      <c r="P7" s="21">
        <v>0.85570000000000002</v>
      </c>
      <c r="Q7" s="21">
        <v>0.97260000000000002</v>
      </c>
      <c r="R7" s="21">
        <v>1.0646</v>
      </c>
      <c r="S7" s="21">
        <v>1.1528</v>
      </c>
      <c r="T7" s="21">
        <v>1.2350000000000001</v>
      </c>
      <c r="U7" s="21">
        <v>1.3119000000000001</v>
      </c>
      <c r="V7" s="21">
        <v>1.3852</v>
      </c>
      <c r="W7" s="21">
        <v>1.5014000000000001</v>
      </c>
      <c r="X7" s="21">
        <v>1.01E-2</v>
      </c>
      <c r="Y7" s="21">
        <v>9.4400000000000005E-3</v>
      </c>
      <c r="Z7" s="21">
        <v>9.1299999999999992E-3</v>
      </c>
      <c r="AA7" s="21">
        <v>8.8599999999999998E-3</v>
      </c>
      <c r="AB7" s="21">
        <v>8.5400000000000007E-3</v>
      </c>
      <c r="AC7" s="21">
        <v>6.2300000000000003E-3</v>
      </c>
      <c r="AD7" s="21">
        <v>6.3600000000000002E-3</v>
      </c>
      <c r="AE7" s="21">
        <v>6.8300000000000001E-3</v>
      </c>
      <c r="AF7" s="21">
        <v>7.3299999999999997E-3</v>
      </c>
      <c r="AG7" s="21">
        <v>7.8200000000000006E-3</v>
      </c>
      <c r="AH7" s="21">
        <v>8.26E-3</v>
      </c>
      <c r="AI7" s="21">
        <v>8.7799999999999996E-3</v>
      </c>
      <c r="AJ7" s="21">
        <v>9.3799999999999994E-3</v>
      </c>
      <c r="AK7" s="21">
        <v>1.013E-2</v>
      </c>
      <c r="AL7" s="21">
        <v>1.115E-2</v>
      </c>
      <c r="AM7" s="21">
        <v>1.269E-2</v>
      </c>
      <c r="AN7" s="21">
        <v>1.4760000000000001E-2</v>
      </c>
      <c r="AO7" s="21">
        <v>1.7250000000000001E-2</v>
      </c>
      <c r="AP7" s="21">
        <v>6.1900000000000002E-3</v>
      </c>
      <c r="AQ7" s="21" t="s">
        <v>196</v>
      </c>
      <c r="AR7" s="21">
        <v>0.04</v>
      </c>
      <c r="AS7" s="21">
        <v>0.3</v>
      </c>
      <c r="AT7" s="21">
        <v>0</v>
      </c>
      <c r="AU7" s="21">
        <v>0</v>
      </c>
      <c r="AV7" s="21">
        <v>0</v>
      </c>
      <c r="AW7" s="21" t="s">
        <v>196</v>
      </c>
      <c r="AX7" s="21">
        <v>0.04</v>
      </c>
      <c r="AY7" s="21">
        <v>0.3</v>
      </c>
      <c r="AZ7" s="21">
        <v>0</v>
      </c>
      <c r="BA7" s="21">
        <v>0</v>
      </c>
      <c r="BB7" s="21">
        <v>0</v>
      </c>
    </row>
    <row r="8" spans="1:54">
      <c r="A8" s="21" t="str">
        <f>Main_Input!A8</f>
        <v>JetSubmersible_FW2.2</v>
      </c>
      <c r="B8" s="21" t="s">
        <v>237</v>
      </c>
      <c r="C8" s="21">
        <v>0.12</v>
      </c>
      <c r="D8" s="21">
        <v>0.3</v>
      </c>
      <c r="E8" s="21">
        <v>-0.42009999999999997</v>
      </c>
      <c r="F8" s="21">
        <v>-0.31630000000000003</v>
      </c>
      <c r="G8" s="21">
        <v>-0.2082</v>
      </c>
      <c r="H8" s="21">
        <v>-9.9000000000000005E-2</v>
      </c>
      <c r="I8" s="21">
        <v>1.03E-2</v>
      </c>
      <c r="J8" s="21">
        <v>9.8400000000000001E-2</v>
      </c>
      <c r="K8" s="21">
        <v>0.2044</v>
      </c>
      <c r="L8" s="21">
        <v>0.31480000000000002</v>
      </c>
      <c r="M8" s="21">
        <v>0.44740000000000002</v>
      </c>
      <c r="N8" s="21">
        <v>0.58460000000000001</v>
      </c>
      <c r="O8" s="21">
        <v>0.72040000000000004</v>
      </c>
      <c r="P8" s="21">
        <v>0.85570000000000002</v>
      </c>
      <c r="Q8" s="21">
        <v>0.97260000000000002</v>
      </c>
      <c r="R8" s="21">
        <v>1.0646</v>
      </c>
      <c r="S8" s="21">
        <v>1.1528</v>
      </c>
      <c r="T8" s="21">
        <v>1.2350000000000001</v>
      </c>
      <c r="U8" s="21">
        <v>1.3119000000000001</v>
      </c>
      <c r="V8" s="21">
        <v>1.3852</v>
      </c>
      <c r="W8" s="21">
        <v>1.5014000000000001</v>
      </c>
      <c r="X8" s="21">
        <v>1.01E-2</v>
      </c>
      <c r="Y8" s="21">
        <v>9.4400000000000005E-3</v>
      </c>
      <c r="Z8" s="21">
        <v>9.1299999999999992E-3</v>
      </c>
      <c r="AA8" s="21">
        <v>8.8599999999999998E-3</v>
      </c>
      <c r="AB8" s="21">
        <v>8.5400000000000007E-3</v>
      </c>
      <c r="AC8" s="21">
        <v>6.2300000000000003E-3</v>
      </c>
      <c r="AD8" s="21">
        <v>6.3600000000000002E-3</v>
      </c>
      <c r="AE8" s="21">
        <v>6.8300000000000001E-3</v>
      </c>
      <c r="AF8" s="21">
        <v>7.3299999999999997E-3</v>
      </c>
      <c r="AG8" s="21">
        <v>7.8200000000000006E-3</v>
      </c>
      <c r="AH8" s="21">
        <v>8.26E-3</v>
      </c>
      <c r="AI8" s="21">
        <v>8.7799999999999996E-3</v>
      </c>
      <c r="AJ8" s="21">
        <v>9.3799999999999994E-3</v>
      </c>
      <c r="AK8" s="21">
        <v>1.013E-2</v>
      </c>
      <c r="AL8" s="21">
        <v>1.115E-2</v>
      </c>
      <c r="AM8" s="21">
        <v>1.269E-2</v>
      </c>
      <c r="AN8" s="21">
        <v>1.4760000000000001E-2</v>
      </c>
      <c r="AO8" s="21">
        <v>1.7250000000000001E-2</v>
      </c>
      <c r="AP8" s="21">
        <v>6.1900000000000002E-3</v>
      </c>
      <c r="AQ8" s="21" t="s">
        <v>196</v>
      </c>
      <c r="AR8" s="21">
        <v>0.04</v>
      </c>
      <c r="AS8" s="21">
        <v>0.3</v>
      </c>
      <c r="AT8" s="21">
        <v>0</v>
      </c>
      <c r="AU8" s="21">
        <v>0</v>
      </c>
      <c r="AV8" s="21">
        <v>0</v>
      </c>
      <c r="AW8" s="21" t="s">
        <v>196</v>
      </c>
      <c r="AX8" s="21">
        <v>0.04</v>
      </c>
      <c r="AY8" s="21">
        <v>0.3</v>
      </c>
      <c r="AZ8" s="21">
        <v>0</v>
      </c>
      <c r="BA8" s="21">
        <v>0</v>
      </c>
      <c r="BB8" s="21">
        <v>0</v>
      </c>
    </row>
    <row r="9" spans="1:54">
      <c r="A9" s="21" t="str">
        <f>Main_Input!A9</f>
        <v>JetSubmersible_FW2.3</v>
      </c>
      <c r="B9" s="21" t="s">
        <v>237</v>
      </c>
      <c r="C9" s="21">
        <v>0.12</v>
      </c>
      <c r="D9" s="21">
        <v>0.3</v>
      </c>
      <c r="E9" s="21">
        <v>-0.42009999999999997</v>
      </c>
      <c r="F9" s="21">
        <v>-0.31630000000000003</v>
      </c>
      <c r="G9" s="21">
        <v>-0.2082</v>
      </c>
      <c r="H9" s="21">
        <v>-9.9000000000000005E-2</v>
      </c>
      <c r="I9" s="21">
        <v>1.03E-2</v>
      </c>
      <c r="J9" s="21">
        <v>9.8400000000000001E-2</v>
      </c>
      <c r="K9" s="21">
        <v>0.2044</v>
      </c>
      <c r="L9" s="21">
        <v>0.31480000000000002</v>
      </c>
      <c r="M9" s="21">
        <v>0.44740000000000002</v>
      </c>
      <c r="N9" s="21">
        <v>0.58460000000000001</v>
      </c>
      <c r="O9" s="21">
        <v>0.72040000000000004</v>
      </c>
      <c r="P9" s="21">
        <v>0.85570000000000002</v>
      </c>
      <c r="Q9" s="21">
        <v>0.97260000000000002</v>
      </c>
      <c r="R9" s="21">
        <v>1.0646</v>
      </c>
      <c r="S9" s="21">
        <v>1.1528</v>
      </c>
      <c r="T9" s="21">
        <v>1.2350000000000001</v>
      </c>
      <c r="U9" s="21">
        <v>1.3119000000000001</v>
      </c>
      <c r="V9" s="21">
        <v>1.3852</v>
      </c>
      <c r="W9" s="21">
        <v>1.5014000000000001</v>
      </c>
      <c r="X9" s="21">
        <v>1.01E-2</v>
      </c>
      <c r="Y9" s="21">
        <v>9.4400000000000005E-3</v>
      </c>
      <c r="Z9" s="21">
        <v>9.1299999999999992E-3</v>
      </c>
      <c r="AA9" s="21">
        <v>8.8599999999999998E-3</v>
      </c>
      <c r="AB9" s="21">
        <v>8.5400000000000007E-3</v>
      </c>
      <c r="AC9" s="21">
        <v>6.2300000000000003E-3</v>
      </c>
      <c r="AD9" s="21">
        <v>6.3600000000000002E-3</v>
      </c>
      <c r="AE9" s="21">
        <v>6.8300000000000001E-3</v>
      </c>
      <c r="AF9" s="21">
        <v>7.3299999999999997E-3</v>
      </c>
      <c r="AG9" s="21">
        <v>7.8200000000000006E-3</v>
      </c>
      <c r="AH9" s="21">
        <v>8.26E-3</v>
      </c>
      <c r="AI9" s="21">
        <v>8.7799999999999996E-3</v>
      </c>
      <c r="AJ9" s="21">
        <v>9.3799999999999994E-3</v>
      </c>
      <c r="AK9" s="21">
        <v>1.013E-2</v>
      </c>
      <c r="AL9" s="21">
        <v>1.115E-2</v>
      </c>
      <c r="AM9" s="21">
        <v>1.269E-2</v>
      </c>
      <c r="AN9" s="21">
        <v>1.4760000000000001E-2</v>
      </c>
      <c r="AO9" s="21">
        <v>1.7250000000000001E-2</v>
      </c>
      <c r="AP9" s="21">
        <v>6.1900000000000002E-3</v>
      </c>
      <c r="AQ9" s="21" t="s">
        <v>196</v>
      </c>
      <c r="AR9" s="21">
        <v>0.04</v>
      </c>
      <c r="AS9" s="21">
        <v>0.3</v>
      </c>
      <c r="AT9" s="21">
        <v>0</v>
      </c>
      <c r="AU9" s="21">
        <v>0</v>
      </c>
      <c r="AV9" s="21">
        <v>0</v>
      </c>
      <c r="AW9" s="21" t="s">
        <v>196</v>
      </c>
      <c r="AX9" s="21">
        <v>0.04</v>
      </c>
      <c r="AY9" s="21">
        <v>0.3</v>
      </c>
      <c r="AZ9" s="21">
        <v>0</v>
      </c>
      <c r="BA9" s="21">
        <v>0</v>
      </c>
      <c r="BB9" s="21">
        <v>0</v>
      </c>
    </row>
    <row r="10" spans="1:54">
      <c r="A10" s="21" t="str">
        <f>Main_Input!A10</f>
        <v>JetSubmersible_FW2.4</v>
      </c>
      <c r="B10" s="21" t="s">
        <v>237</v>
      </c>
      <c r="C10" s="21">
        <v>0.12</v>
      </c>
      <c r="D10" s="21">
        <v>0.3</v>
      </c>
      <c r="E10" s="21">
        <v>-0.42009999999999997</v>
      </c>
      <c r="F10" s="21">
        <v>-0.31630000000000003</v>
      </c>
      <c r="G10" s="21">
        <v>-0.2082</v>
      </c>
      <c r="H10" s="21">
        <v>-9.9000000000000005E-2</v>
      </c>
      <c r="I10" s="21">
        <v>1.03E-2</v>
      </c>
      <c r="J10" s="21">
        <v>9.8400000000000001E-2</v>
      </c>
      <c r="K10" s="21">
        <v>0.2044</v>
      </c>
      <c r="L10" s="21">
        <v>0.31480000000000002</v>
      </c>
      <c r="M10" s="21">
        <v>0.44740000000000002</v>
      </c>
      <c r="N10" s="21">
        <v>0.58460000000000001</v>
      </c>
      <c r="O10" s="21">
        <v>0.72040000000000004</v>
      </c>
      <c r="P10" s="21">
        <v>0.85570000000000002</v>
      </c>
      <c r="Q10" s="21">
        <v>0.97260000000000002</v>
      </c>
      <c r="R10" s="21">
        <v>1.0646</v>
      </c>
      <c r="S10" s="21">
        <v>1.1528</v>
      </c>
      <c r="T10" s="21">
        <v>1.2350000000000001</v>
      </c>
      <c r="U10" s="21">
        <v>1.3119000000000001</v>
      </c>
      <c r="V10" s="21">
        <v>1.3852</v>
      </c>
      <c r="W10" s="21">
        <v>1.5014000000000001</v>
      </c>
      <c r="X10" s="21">
        <v>1.01E-2</v>
      </c>
      <c r="Y10" s="21">
        <v>9.4400000000000005E-3</v>
      </c>
      <c r="Z10" s="21">
        <v>9.1299999999999992E-3</v>
      </c>
      <c r="AA10" s="21">
        <v>8.8599999999999998E-3</v>
      </c>
      <c r="AB10" s="21">
        <v>8.5400000000000007E-3</v>
      </c>
      <c r="AC10" s="21">
        <v>6.2300000000000003E-3</v>
      </c>
      <c r="AD10" s="21">
        <v>6.3600000000000002E-3</v>
      </c>
      <c r="AE10" s="21">
        <v>6.8300000000000001E-3</v>
      </c>
      <c r="AF10" s="21">
        <v>7.3299999999999997E-3</v>
      </c>
      <c r="AG10" s="21">
        <v>7.8200000000000006E-3</v>
      </c>
      <c r="AH10" s="21">
        <v>8.26E-3</v>
      </c>
      <c r="AI10" s="21">
        <v>8.7799999999999996E-3</v>
      </c>
      <c r="AJ10" s="21">
        <v>9.3799999999999994E-3</v>
      </c>
      <c r="AK10" s="21">
        <v>1.013E-2</v>
      </c>
      <c r="AL10" s="21">
        <v>1.115E-2</v>
      </c>
      <c r="AM10" s="21">
        <v>1.269E-2</v>
      </c>
      <c r="AN10" s="21">
        <v>1.4760000000000001E-2</v>
      </c>
      <c r="AO10" s="21">
        <v>1.7250000000000001E-2</v>
      </c>
      <c r="AP10" s="21">
        <v>6.1900000000000002E-3</v>
      </c>
      <c r="AQ10" s="21" t="s">
        <v>196</v>
      </c>
      <c r="AR10" s="21">
        <v>0.04</v>
      </c>
      <c r="AS10" s="21">
        <v>0.3</v>
      </c>
      <c r="AT10" s="21">
        <v>0</v>
      </c>
      <c r="AU10" s="21">
        <v>0</v>
      </c>
      <c r="AV10" s="21">
        <v>0</v>
      </c>
      <c r="AW10" s="21" t="s">
        <v>196</v>
      </c>
      <c r="AX10" s="21">
        <v>0.04</v>
      </c>
      <c r="AY10" s="21">
        <v>0.3</v>
      </c>
      <c r="AZ10" s="21">
        <v>0</v>
      </c>
      <c r="BA10" s="21">
        <v>0</v>
      </c>
      <c r="BB10" s="21">
        <v>0</v>
      </c>
    </row>
    <row r="11" spans="1:54">
      <c r="A11" s="21" t="str">
        <f>Main_Input!A11</f>
        <v>JetSubmersible_FW2.5</v>
      </c>
      <c r="B11" s="21" t="s">
        <v>237</v>
      </c>
      <c r="C11" s="21">
        <v>0.12</v>
      </c>
      <c r="D11" s="21">
        <v>0.3</v>
      </c>
      <c r="E11" s="21">
        <v>-0.42009999999999997</v>
      </c>
      <c r="F11" s="21">
        <v>-0.31630000000000003</v>
      </c>
      <c r="G11" s="21">
        <v>-0.2082</v>
      </c>
      <c r="H11" s="21">
        <v>-9.9000000000000005E-2</v>
      </c>
      <c r="I11" s="21">
        <v>1.03E-2</v>
      </c>
      <c r="J11" s="21">
        <v>9.8400000000000001E-2</v>
      </c>
      <c r="K11" s="21">
        <v>0.2044</v>
      </c>
      <c r="L11" s="21">
        <v>0.31480000000000002</v>
      </c>
      <c r="M11" s="21">
        <v>0.44740000000000002</v>
      </c>
      <c r="N11" s="21">
        <v>0.58460000000000001</v>
      </c>
      <c r="O11" s="21">
        <v>0.72040000000000004</v>
      </c>
      <c r="P11" s="21">
        <v>0.85570000000000002</v>
      </c>
      <c r="Q11" s="21">
        <v>0.97260000000000002</v>
      </c>
      <c r="R11" s="21">
        <v>1.0646</v>
      </c>
      <c r="S11" s="21">
        <v>1.1528</v>
      </c>
      <c r="T11" s="21">
        <v>1.2350000000000001</v>
      </c>
      <c r="U11" s="21">
        <v>1.3119000000000001</v>
      </c>
      <c r="V11" s="21">
        <v>1.3852</v>
      </c>
      <c r="W11" s="21">
        <v>1.5014000000000001</v>
      </c>
      <c r="X11" s="21">
        <v>1.01E-2</v>
      </c>
      <c r="Y11" s="21">
        <v>9.4400000000000005E-3</v>
      </c>
      <c r="Z11" s="21">
        <v>9.1299999999999992E-3</v>
      </c>
      <c r="AA11" s="21">
        <v>8.8599999999999998E-3</v>
      </c>
      <c r="AB11" s="21">
        <v>8.5400000000000007E-3</v>
      </c>
      <c r="AC11" s="21">
        <v>6.2300000000000003E-3</v>
      </c>
      <c r="AD11" s="21">
        <v>6.3600000000000002E-3</v>
      </c>
      <c r="AE11" s="21">
        <v>6.8300000000000001E-3</v>
      </c>
      <c r="AF11" s="21">
        <v>7.3299999999999997E-3</v>
      </c>
      <c r="AG11" s="21">
        <v>7.8200000000000006E-3</v>
      </c>
      <c r="AH11" s="21">
        <v>8.26E-3</v>
      </c>
      <c r="AI11" s="21">
        <v>8.7799999999999996E-3</v>
      </c>
      <c r="AJ11" s="21">
        <v>9.3799999999999994E-3</v>
      </c>
      <c r="AK11" s="21">
        <v>1.013E-2</v>
      </c>
      <c r="AL11" s="21">
        <v>1.115E-2</v>
      </c>
      <c r="AM11" s="21">
        <v>1.269E-2</v>
      </c>
      <c r="AN11" s="21">
        <v>1.4760000000000001E-2</v>
      </c>
      <c r="AO11" s="21">
        <v>1.7250000000000001E-2</v>
      </c>
      <c r="AP11" s="21">
        <v>6.1900000000000002E-3</v>
      </c>
      <c r="AQ11" s="21" t="s">
        <v>196</v>
      </c>
      <c r="AR11" s="21">
        <v>0.04</v>
      </c>
      <c r="AS11" s="21">
        <v>0.3</v>
      </c>
      <c r="AT11" s="21">
        <v>0</v>
      </c>
      <c r="AU11" s="21">
        <v>0</v>
      </c>
      <c r="AV11" s="21">
        <v>0</v>
      </c>
      <c r="AW11" s="21" t="s">
        <v>196</v>
      </c>
      <c r="AX11" s="21">
        <v>0.04</v>
      </c>
      <c r="AY11" s="21">
        <v>0.3</v>
      </c>
      <c r="AZ11" s="21">
        <v>0</v>
      </c>
      <c r="BA11" s="21">
        <v>0</v>
      </c>
      <c r="BB11" s="21">
        <v>0</v>
      </c>
    </row>
    <row r="16" spans="1:54" s="25" customFormat="1"/>
    <row r="19" spans="2:54">
      <c r="B19" s="21" t="s">
        <v>195</v>
      </c>
      <c r="C19" s="21">
        <v>0.12</v>
      </c>
      <c r="D19" s="21">
        <v>0.3</v>
      </c>
      <c r="E19" s="6">
        <f>-0.483</f>
        <v>-0.48299999999999998</v>
      </c>
      <c r="F19" s="23">
        <f>-0.3983</f>
        <v>-0.39829999999999999</v>
      </c>
      <c r="G19" s="23">
        <f>-0.3108</f>
        <v>-0.31080000000000002</v>
      </c>
      <c r="H19" s="23">
        <v>-0.2485</v>
      </c>
      <c r="I19" s="23">
        <v>-0.1244</v>
      </c>
      <c r="J19" s="21">
        <v>-5.8900000000000001E-2</v>
      </c>
      <c r="K19" s="23">
        <v>0.13750000000000001</v>
      </c>
      <c r="L19" s="23">
        <v>0.30249999999999999</v>
      </c>
      <c r="M19" s="23">
        <v>0.45279999999999998</v>
      </c>
      <c r="N19" s="23">
        <v>0.59899999999999998</v>
      </c>
      <c r="O19" s="23">
        <v>0.7429</v>
      </c>
      <c r="P19" s="23">
        <v>0.85670000000000002</v>
      </c>
      <c r="Q19" s="23">
        <v>0.95979999999999999</v>
      </c>
      <c r="R19" s="21">
        <v>1.0251999999999999</v>
      </c>
      <c r="S19" s="21">
        <v>1.0969</v>
      </c>
      <c r="T19" s="23">
        <v>1.1591</v>
      </c>
      <c r="U19" s="23">
        <v>1.1391</v>
      </c>
      <c r="V19" s="21">
        <v>1.0009999999999999</v>
      </c>
      <c r="W19" s="21">
        <f>1.1591</f>
        <v>1.1591</v>
      </c>
      <c r="X19" s="23">
        <v>3.1399999999999997E-2</v>
      </c>
      <c r="Y19" s="23">
        <v>2.6689999999999998E-2</v>
      </c>
      <c r="Z19" s="23">
        <v>2.6689999999999998E-2</v>
      </c>
      <c r="AA19" s="23">
        <v>2.1329999999999998E-2</v>
      </c>
      <c r="AB19" s="23">
        <v>2.1909999999999999E-2</v>
      </c>
      <c r="AC19" s="23">
        <v>2.4060000000000002E-2</v>
      </c>
      <c r="AD19" s="23">
        <v>2.81E-2</v>
      </c>
      <c r="AE19" s="23">
        <v>3.099E-2</v>
      </c>
      <c r="AF19" s="23">
        <v>3.304E-2</v>
      </c>
      <c r="AG19" s="23">
        <v>3.3750000000000002E-2</v>
      </c>
      <c r="AH19" s="23">
        <v>3.2559999999999999E-2</v>
      </c>
      <c r="AI19" s="23">
        <v>3.159E-2</v>
      </c>
      <c r="AJ19" s="23">
        <v>3.0269999999999998E-2</v>
      </c>
      <c r="AK19" s="24">
        <v>3.245E-2</v>
      </c>
      <c r="AL19" s="24">
        <v>3.9794999999999997E-2</v>
      </c>
      <c r="AM19" s="23">
        <v>4.9970000000000001E-2</v>
      </c>
      <c r="AN19" s="23">
        <v>6.5100000000000005E-2</v>
      </c>
      <c r="AO19" s="24">
        <v>9.2009999999999995E-2</v>
      </c>
      <c r="AP19" s="23">
        <v>2.1329999999999998E-2</v>
      </c>
      <c r="AQ19" s="21" t="s">
        <v>196</v>
      </c>
      <c r="AR19" s="21">
        <v>0.04</v>
      </c>
      <c r="AS19" s="21">
        <v>0.3</v>
      </c>
      <c r="AT19" s="21">
        <v>0</v>
      </c>
      <c r="AU19" s="21">
        <v>0</v>
      </c>
      <c r="AV19" s="21">
        <v>0</v>
      </c>
      <c r="AW19" s="21" t="s">
        <v>196</v>
      </c>
      <c r="AX19" s="21">
        <v>0.04</v>
      </c>
      <c r="AY19" s="21">
        <v>0.3</v>
      </c>
      <c r="AZ19" s="21">
        <v>0</v>
      </c>
      <c r="BA19" s="21">
        <v>0</v>
      </c>
      <c r="BB19" s="21">
        <v>0</v>
      </c>
    </row>
    <row r="21" spans="2:54">
      <c r="B21" s="21" t="s">
        <v>237</v>
      </c>
      <c r="C21" s="21">
        <v>0.12</v>
      </c>
      <c r="D21" s="21">
        <v>0.3</v>
      </c>
      <c r="E21" s="21">
        <v>-0.42009999999999997</v>
      </c>
      <c r="F21" s="21">
        <v>-0.31630000000000003</v>
      </c>
      <c r="G21" s="21">
        <v>-0.2082</v>
      </c>
      <c r="H21" s="21">
        <v>-9.9000000000000005E-2</v>
      </c>
      <c r="I21" s="21">
        <v>1.03E-2</v>
      </c>
      <c r="J21" s="21">
        <v>9.8400000000000001E-2</v>
      </c>
      <c r="K21" s="21">
        <v>0.2044</v>
      </c>
      <c r="L21" s="21">
        <v>0.31480000000000002</v>
      </c>
      <c r="M21" s="21">
        <v>0.44740000000000002</v>
      </c>
      <c r="N21" s="21">
        <v>0.58460000000000001</v>
      </c>
      <c r="O21" s="21">
        <v>0.72040000000000004</v>
      </c>
      <c r="P21" s="21">
        <v>0.85570000000000002</v>
      </c>
      <c r="Q21" s="21">
        <v>0.97260000000000002</v>
      </c>
      <c r="R21" s="21">
        <v>1.0646</v>
      </c>
      <c r="S21" s="21">
        <v>1.1528</v>
      </c>
      <c r="T21" s="21">
        <v>1.2350000000000001</v>
      </c>
      <c r="U21" s="21">
        <v>1.3119000000000001</v>
      </c>
      <c r="V21" s="21">
        <v>1.3852</v>
      </c>
      <c r="W21" s="21">
        <v>1.5014000000000001</v>
      </c>
      <c r="X21" s="21">
        <v>1.01E-2</v>
      </c>
      <c r="Y21" s="21">
        <v>9.4400000000000005E-3</v>
      </c>
      <c r="Z21" s="21">
        <v>9.1299999999999992E-3</v>
      </c>
      <c r="AA21" s="21">
        <v>8.8599999999999998E-3</v>
      </c>
      <c r="AB21" s="21">
        <v>8.5400000000000007E-3</v>
      </c>
      <c r="AC21" s="21">
        <v>6.2300000000000003E-3</v>
      </c>
      <c r="AD21" s="21">
        <v>6.3600000000000002E-3</v>
      </c>
      <c r="AE21" s="21">
        <v>6.8300000000000001E-3</v>
      </c>
      <c r="AF21" s="21">
        <v>7.3299999999999997E-3</v>
      </c>
      <c r="AG21" s="21">
        <v>7.8200000000000006E-3</v>
      </c>
      <c r="AH21" s="21">
        <v>8.26E-3</v>
      </c>
      <c r="AI21" s="21">
        <v>8.7799999999999996E-3</v>
      </c>
      <c r="AJ21" s="21">
        <v>9.3799999999999994E-3</v>
      </c>
      <c r="AK21" s="21">
        <v>1.013E-2</v>
      </c>
      <c r="AL21" s="21">
        <v>1.115E-2</v>
      </c>
      <c r="AM21" s="21">
        <v>1.269E-2</v>
      </c>
      <c r="AN21" s="21">
        <v>1.4760000000000001E-2</v>
      </c>
      <c r="AO21" s="21">
        <v>1.7250000000000001E-2</v>
      </c>
      <c r="AP21" s="21">
        <v>6.1900000000000002E-3</v>
      </c>
      <c r="AQ21" s="21" t="s">
        <v>196</v>
      </c>
      <c r="AR21" s="21">
        <v>0.04</v>
      </c>
      <c r="AS21" s="21">
        <v>0.3</v>
      </c>
      <c r="AT21" s="21">
        <v>0</v>
      </c>
      <c r="AU21" s="21">
        <v>0</v>
      </c>
      <c r="AV21" s="21">
        <v>0</v>
      </c>
      <c r="AW21" s="21" t="s">
        <v>196</v>
      </c>
      <c r="AX21" s="21">
        <v>0.04</v>
      </c>
      <c r="AY21" s="21">
        <v>0.3</v>
      </c>
      <c r="AZ21" s="21">
        <v>0</v>
      </c>
      <c r="BA21" s="21">
        <v>0</v>
      </c>
      <c r="BB21" s="21">
        <v>0</v>
      </c>
    </row>
  </sheetData>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
  <sheetViews>
    <sheetView zoomScale="164" zoomScaleNormal="164" workbookViewId="0">
      <selection activeCell="C14" sqref="C14"/>
    </sheetView>
  </sheetViews>
  <sheetFormatPr defaultRowHeight="14.4"/>
  <cols>
    <col min="1" max="1" width="20.6640625" customWidth="1"/>
    <col min="2" max="2" width="21.44140625" customWidth="1"/>
    <col min="3" max="3" width="8.77734375" customWidth="1"/>
    <col min="4" max="4" width="10" customWidth="1"/>
    <col min="5" max="5" width="11.44140625"/>
    <col min="6" max="6" width="8.77734375" customWidth="1"/>
    <col min="7" max="7" width="11.44140625"/>
    <col min="8" max="8" width="10.77734375" customWidth="1"/>
    <col min="9" max="9" width="10" customWidth="1"/>
    <col min="10" max="1025" width="8.77734375" customWidth="1"/>
  </cols>
  <sheetData>
    <row r="1" spans="1:18">
      <c r="A1" s="26" t="s">
        <v>56</v>
      </c>
      <c r="B1" s="26" t="s">
        <v>197</v>
      </c>
      <c r="C1" s="26" t="s">
        <v>198</v>
      </c>
      <c r="D1" s="27" t="s">
        <v>199</v>
      </c>
      <c r="E1" s="27" t="s">
        <v>200</v>
      </c>
      <c r="F1" s="27" t="s">
        <v>201</v>
      </c>
      <c r="G1" s="27" t="s">
        <v>202</v>
      </c>
      <c r="H1" s="27" t="s">
        <v>203</v>
      </c>
      <c r="I1" s="28" t="s">
        <v>204</v>
      </c>
      <c r="J1" s="28" t="s">
        <v>205</v>
      </c>
      <c r="K1" s="28" t="s">
        <v>206</v>
      </c>
      <c r="L1" s="28" t="s">
        <v>207</v>
      </c>
      <c r="M1" s="29" t="s">
        <v>208</v>
      </c>
      <c r="N1" s="29" t="s">
        <v>209</v>
      </c>
      <c r="O1" s="29" t="s">
        <v>210</v>
      </c>
      <c r="P1" s="29" t="s">
        <v>211</v>
      </c>
      <c r="Q1" s="29" t="s">
        <v>212</v>
      </c>
      <c r="R1" s="29" t="s">
        <v>213</v>
      </c>
    </row>
    <row r="2" spans="1:18">
      <c r="A2" s="21" t="str">
        <f>Main_Input!A2</f>
        <v>JetSubmersible_FW1.1</v>
      </c>
      <c r="B2" t="s">
        <v>214</v>
      </c>
      <c r="C2">
        <v>1</v>
      </c>
      <c r="D2">
        <v>12200</v>
      </c>
      <c r="E2">
        <v>0.65</v>
      </c>
      <c r="F2">
        <v>0</v>
      </c>
      <c r="G2">
        <v>0</v>
      </c>
      <c r="H2">
        <v>0.2</v>
      </c>
      <c r="I2">
        <v>0</v>
      </c>
      <c r="J2">
        <v>0</v>
      </c>
      <c r="K2">
        <v>0</v>
      </c>
      <c r="L2">
        <v>0</v>
      </c>
      <c r="M2">
        <v>0</v>
      </c>
      <c r="N2">
        <v>0</v>
      </c>
      <c r="O2">
        <v>0</v>
      </c>
      <c r="P2">
        <v>0</v>
      </c>
      <c r="Q2">
        <v>0</v>
      </c>
      <c r="R2">
        <v>0</v>
      </c>
    </row>
    <row r="3" spans="1:18">
      <c r="A3" s="21" t="str">
        <f>Main_Input!A3</f>
        <v>JetSubmersible_FW1.2</v>
      </c>
      <c r="B3" t="s">
        <v>214</v>
      </c>
      <c r="C3">
        <v>1</v>
      </c>
      <c r="D3">
        <v>12200</v>
      </c>
      <c r="E3">
        <v>0.65</v>
      </c>
      <c r="F3">
        <v>0</v>
      </c>
      <c r="G3">
        <v>0</v>
      </c>
      <c r="H3">
        <v>0.2</v>
      </c>
      <c r="I3">
        <v>0</v>
      </c>
      <c r="J3">
        <v>0</v>
      </c>
      <c r="K3">
        <v>0</v>
      </c>
      <c r="L3">
        <v>0</v>
      </c>
      <c r="M3">
        <v>0</v>
      </c>
      <c r="N3">
        <v>0</v>
      </c>
      <c r="O3">
        <v>0</v>
      </c>
      <c r="P3">
        <v>0</v>
      </c>
      <c r="Q3">
        <v>0</v>
      </c>
      <c r="R3">
        <v>0</v>
      </c>
    </row>
    <row r="4" spans="1:18">
      <c r="A4" s="21" t="str">
        <f>Main_Input!A4</f>
        <v>JetSubmersible_FW1.3</v>
      </c>
      <c r="B4" t="s">
        <v>214</v>
      </c>
      <c r="C4">
        <v>1</v>
      </c>
      <c r="D4">
        <v>12200</v>
      </c>
      <c r="E4">
        <v>0.65</v>
      </c>
      <c r="F4">
        <v>0</v>
      </c>
      <c r="G4">
        <v>0</v>
      </c>
      <c r="H4">
        <v>0.2</v>
      </c>
      <c r="I4">
        <v>0</v>
      </c>
      <c r="J4">
        <v>0</v>
      </c>
      <c r="K4">
        <v>0</v>
      </c>
      <c r="L4">
        <v>0</v>
      </c>
      <c r="M4">
        <v>0</v>
      </c>
      <c r="N4">
        <v>0</v>
      </c>
      <c r="O4">
        <v>0</v>
      </c>
      <c r="P4">
        <v>0</v>
      </c>
      <c r="Q4">
        <v>0</v>
      </c>
      <c r="R4">
        <v>0</v>
      </c>
    </row>
    <row r="5" spans="1:18">
      <c r="A5" s="21" t="str">
        <f>Main_Input!A5</f>
        <v>JetSubmersible_FW1.4</v>
      </c>
      <c r="B5" t="s">
        <v>214</v>
      </c>
      <c r="C5">
        <v>1</v>
      </c>
      <c r="D5">
        <v>12200</v>
      </c>
      <c r="E5">
        <v>0.65</v>
      </c>
      <c r="F5">
        <v>0</v>
      </c>
      <c r="G5">
        <v>0</v>
      </c>
      <c r="H5">
        <v>0.2</v>
      </c>
      <c r="I5">
        <v>0</v>
      </c>
      <c r="J5">
        <v>0</v>
      </c>
      <c r="K5">
        <v>0</v>
      </c>
      <c r="L5">
        <v>0</v>
      </c>
      <c r="M5">
        <v>0</v>
      </c>
      <c r="N5">
        <v>0</v>
      </c>
      <c r="O5">
        <v>0</v>
      </c>
      <c r="P5">
        <v>0</v>
      </c>
      <c r="Q5">
        <v>0</v>
      </c>
      <c r="R5">
        <v>0</v>
      </c>
    </row>
    <row r="6" spans="1:18">
      <c r="A6" s="21" t="str">
        <f>Main_Input!A6</f>
        <v>JetSubmersible_FW1.5</v>
      </c>
      <c r="B6" t="s">
        <v>214</v>
      </c>
      <c r="C6">
        <v>1</v>
      </c>
      <c r="D6">
        <v>12200</v>
      </c>
      <c r="E6">
        <v>0.65</v>
      </c>
      <c r="F6">
        <v>0</v>
      </c>
      <c r="G6">
        <v>0</v>
      </c>
      <c r="H6">
        <v>0.2</v>
      </c>
      <c r="I6">
        <v>0</v>
      </c>
      <c r="J6">
        <v>0</v>
      </c>
      <c r="K6">
        <v>0</v>
      </c>
      <c r="L6">
        <v>0</v>
      </c>
      <c r="M6">
        <v>0</v>
      </c>
      <c r="N6">
        <v>0</v>
      </c>
      <c r="O6">
        <v>0</v>
      </c>
      <c r="P6">
        <v>0</v>
      </c>
      <c r="Q6">
        <v>0</v>
      </c>
      <c r="R6">
        <v>0</v>
      </c>
    </row>
    <row r="7" spans="1:18">
      <c r="A7" s="21" t="str">
        <f>Main_Input!A7</f>
        <v>JetSubmersible_FW2.1</v>
      </c>
      <c r="B7" t="s">
        <v>214</v>
      </c>
      <c r="C7">
        <v>1</v>
      </c>
      <c r="D7">
        <v>12200</v>
      </c>
      <c r="E7">
        <v>0.65</v>
      </c>
      <c r="F7">
        <v>0</v>
      </c>
      <c r="G7">
        <v>0</v>
      </c>
      <c r="H7">
        <v>0.2</v>
      </c>
      <c r="I7">
        <v>0</v>
      </c>
      <c r="J7">
        <v>0</v>
      </c>
      <c r="K7">
        <v>0</v>
      </c>
      <c r="L7">
        <v>0</v>
      </c>
      <c r="M7">
        <v>0</v>
      </c>
      <c r="N7">
        <v>0</v>
      </c>
      <c r="O7">
        <v>0</v>
      </c>
      <c r="P7">
        <v>0</v>
      </c>
      <c r="Q7">
        <v>0</v>
      </c>
      <c r="R7">
        <v>0</v>
      </c>
    </row>
    <row r="8" spans="1:18">
      <c r="A8" s="21" t="str">
        <f>Main_Input!A8</f>
        <v>JetSubmersible_FW2.2</v>
      </c>
      <c r="B8" t="s">
        <v>214</v>
      </c>
      <c r="C8">
        <v>1</v>
      </c>
      <c r="D8">
        <v>12200</v>
      </c>
      <c r="E8">
        <v>0.65</v>
      </c>
      <c r="F8">
        <v>0</v>
      </c>
      <c r="G8">
        <v>0</v>
      </c>
      <c r="H8">
        <v>0.2</v>
      </c>
      <c r="I8">
        <v>0</v>
      </c>
      <c r="J8">
        <v>0</v>
      </c>
      <c r="K8">
        <v>0</v>
      </c>
      <c r="L8">
        <v>0</v>
      </c>
      <c r="M8">
        <v>0</v>
      </c>
      <c r="N8">
        <v>0</v>
      </c>
      <c r="O8">
        <v>0</v>
      </c>
      <c r="P8">
        <v>0</v>
      </c>
      <c r="Q8">
        <v>0</v>
      </c>
      <c r="R8">
        <v>0</v>
      </c>
    </row>
    <row r="9" spans="1:18">
      <c r="A9" s="21" t="str">
        <f>Main_Input!A9</f>
        <v>JetSubmersible_FW2.3</v>
      </c>
      <c r="B9" t="s">
        <v>214</v>
      </c>
      <c r="C9">
        <v>1</v>
      </c>
      <c r="D9">
        <v>12200</v>
      </c>
      <c r="E9">
        <v>0.65</v>
      </c>
      <c r="F9">
        <v>0</v>
      </c>
      <c r="G9">
        <v>0</v>
      </c>
      <c r="H9">
        <v>0.2</v>
      </c>
      <c r="I9">
        <v>0</v>
      </c>
      <c r="J9">
        <v>0</v>
      </c>
      <c r="K9">
        <v>0</v>
      </c>
      <c r="L9">
        <v>0</v>
      </c>
      <c r="M9">
        <v>0</v>
      </c>
      <c r="N9">
        <v>0</v>
      </c>
      <c r="O9">
        <v>0</v>
      </c>
      <c r="P9">
        <v>0</v>
      </c>
      <c r="Q9">
        <v>0</v>
      </c>
      <c r="R9">
        <v>0</v>
      </c>
    </row>
    <row r="10" spans="1:18">
      <c r="A10" s="21" t="str">
        <f>Main_Input!A10</f>
        <v>JetSubmersible_FW2.4</v>
      </c>
      <c r="B10" t="s">
        <v>214</v>
      </c>
      <c r="C10">
        <v>1</v>
      </c>
      <c r="D10">
        <v>12200</v>
      </c>
      <c r="E10">
        <v>0.65</v>
      </c>
      <c r="F10">
        <v>0</v>
      </c>
      <c r="G10">
        <v>0</v>
      </c>
      <c r="H10">
        <v>0.2</v>
      </c>
      <c r="I10">
        <v>0</v>
      </c>
      <c r="J10">
        <v>0</v>
      </c>
      <c r="K10">
        <v>0</v>
      </c>
      <c r="L10">
        <v>0</v>
      </c>
      <c r="M10">
        <v>0</v>
      </c>
      <c r="N10">
        <v>0</v>
      </c>
      <c r="O10">
        <v>0</v>
      </c>
      <c r="P10">
        <v>0</v>
      </c>
      <c r="Q10">
        <v>0</v>
      </c>
      <c r="R10">
        <v>0</v>
      </c>
    </row>
    <row r="11" spans="1:18">
      <c r="A11" s="21" t="str">
        <f>Main_Input!A11</f>
        <v>JetSubmersible_FW2.5</v>
      </c>
      <c r="B11" t="s">
        <v>214</v>
      </c>
      <c r="C11">
        <v>1</v>
      </c>
      <c r="D11">
        <v>12200</v>
      </c>
      <c r="E11">
        <v>0.65</v>
      </c>
      <c r="F11">
        <v>0</v>
      </c>
      <c r="G11">
        <v>0</v>
      </c>
      <c r="H11">
        <v>0.2</v>
      </c>
      <c r="I11">
        <v>0</v>
      </c>
      <c r="J11">
        <v>0</v>
      </c>
      <c r="K11">
        <v>0</v>
      </c>
      <c r="L11">
        <v>0</v>
      </c>
      <c r="M11">
        <v>0</v>
      </c>
      <c r="N11">
        <v>0</v>
      </c>
      <c r="O11">
        <v>0</v>
      </c>
      <c r="P11">
        <v>0</v>
      </c>
      <c r="Q11">
        <v>0</v>
      </c>
      <c r="R11">
        <v>0</v>
      </c>
    </row>
    <row r="12" spans="1:18">
      <c r="A12" s="21"/>
    </row>
    <row r="13" spans="1:18">
      <c r="A13" s="21"/>
    </row>
    <row r="14" spans="1:18">
      <c r="A14" s="21"/>
    </row>
    <row r="15" spans="1:18" s="12" customFormat="1"/>
    <row r="16" spans="1:18">
      <c r="A16" s="7"/>
    </row>
  </sheetData>
  <pageMargins left="0.7" right="0.7" top="0.75" bottom="0.75" header="0.51180555555555496" footer="0.51180555555555496"/>
  <pageSetup firstPageNumber="0"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Lists!$A$2:$A$7</xm:f>
          </x14:formula1>
          <x14:formula2>
            <xm:f>0</xm:f>
          </x14:formula2>
          <xm:sqref>B17:B18 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169" zoomScaleNormal="169" workbookViewId="0">
      <selection activeCell="A14" sqref="A14"/>
    </sheetView>
  </sheetViews>
  <sheetFormatPr defaultRowHeight="14.4"/>
  <cols>
    <col min="1" max="1" width="19.33203125" customWidth="1"/>
    <col min="2" max="2" width="26.109375" customWidth="1"/>
    <col min="3" max="3" width="18.109375" customWidth="1"/>
    <col min="4" max="1025" width="8.77734375" customWidth="1"/>
  </cols>
  <sheetData>
    <row r="1" spans="1:2">
      <c r="A1" t="s">
        <v>197</v>
      </c>
      <c r="B1" t="s">
        <v>111</v>
      </c>
    </row>
    <row r="2" spans="1:2">
      <c r="A2" t="s">
        <v>215</v>
      </c>
      <c r="B2" t="s">
        <v>158</v>
      </c>
    </row>
    <row r="3" spans="1:2">
      <c r="A3" t="s">
        <v>216</v>
      </c>
      <c r="B3" t="s">
        <v>217</v>
      </c>
    </row>
    <row r="4" spans="1:2">
      <c r="A4" t="s">
        <v>218</v>
      </c>
      <c r="B4" t="s">
        <v>219</v>
      </c>
    </row>
    <row r="5" spans="1:2">
      <c r="A5" t="s">
        <v>214</v>
      </c>
      <c r="B5" t="s">
        <v>220</v>
      </c>
    </row>
    <row r="6" spans="1:2">
      <c r="A6" t="s">
        <v>221</v>
      </c>
      <c r="B6" t="s">
        <v>222</v>
      </c>
    </row>
    <row r="7" spans="1:2">
      <c r="A7" t="s">
        <v>223</v>
      </c>
      <c r="B7" t="s">
        <v>224</v>
      </c>
    </row>
    <row r="8" spans="1:2">
      <c r="B8" s="30" t="s">
        <v>225</v>
      </c>
    </row>
    <row r="9" spans="1:2">
      <c r="B9" t="s">
        <v>226</v>
      </c>
    </row>
    <row r="10" spans="1:2">
      <c r="B10" s="30" t="s">
        <v>227</v>
      </c>
    </row>
    <row r="11" spans="1:2">
      <c r="B11" t="s">
        <v>228</v>
      </c>
    </row>
    <row r="12" spans="1:2">
      <c r="B12" s="30" t="s">
        <v>229</v>
      </c>
    </row>
    <row r="13" spans="1:2">
      <c r="B13" t="s">
        <v>230</v>
      </c>
    </row>
    <row r="14" spans="1:2">
      <c r="B14" t="s">
        <v>231</v>
      </c>
    </row>
    <row r="15" spans="1:2">
      <c r="B15" t="s">
        <v>232</v>
      </c>
    </row>
    <row r="16" spans="1:2">
      <c r="B16" t="s">
        <v>233</v>
      </c>
    </row>
    <row r="17" spans="2:2">
      <c r="B17" t="s">
        <v>234</v>
      </c>
    </row>
    <row r="18" spans="2:2">
      <c r="B18" t="s">
        <v>235</v>
      </c>
    </row>
    <row r="19" spans="2:2">
      <c r="B19" t="s">
        <v>236</v>
      </c>
    </row>
  </sheetData>
  <pageMargins left="0.7" right="0.7" top="0.75" bottom="0.75" header="0.51180555555555496" footer="0.51180555555555496"/>
  <pageSetup firstPageNumber="0"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U1" sqref="U1"/>
    </sheetView>
  </sheetViews>
  <sheetFormatPr defaultRowHeight="14.4"/>
  <cols>
    <col min="1" max="1025" width="8.77734375" customWidth="1"/>
  </cols>
  <sheetData/>
  <pageMargins left="0.7" right="0.7" top="0.75" bottom="0.75" header="0.51180555555555496" footer="0.51180555555555496"/>
  <pageSetup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dc:description/>
  <cp:lastModifiedBy>Daniel Gruenbauer</cp:lastModifiedBy>
  <cp:revision>11</cp:revision>
  <dcterms:created xsi:type="dcterms:W3CDTF">2023-12-05T19:03:00Z</dcterms:created>
  <dcterms:modified xsi:type="dcterms:W3CDTF">2026-10-06T19:33:08Z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