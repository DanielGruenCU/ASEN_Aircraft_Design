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nst\Downloads\CU Classes\2026 Fall\Aircraft Design\AES-AircraftDesignToolbox_update1\AES-AircraftDesignToolbox\MAIN\Input Excel Sheets\Design Configurations\"/>
    </mc:Choice>
  </mc:AlternateContent>
  <xr:revisionPtr revIDLastSave="0" documentId="13_ncr:1_{21D976B4-2337-4E63-9F5B-83982E36F91B}" xr6:coauthVersionLast="47" xr6:coauthVersionMax="47" xr10:uidLastSave="{00000000-0000-0000-0000-000000000000}"/>
  <bookViews>
    <workbookView xWindow="-98" yWindow="-98" windowWidth="21795" windowHeight="12975"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13" l="1"/>
  <c r="W8" i="5"/>
  <c r="G8" i="5"/>
  <c r="F8" i="5"/>
  <c r="E8" i="5"/>
  <c r="AN8" i="4"/>
  <c r="AJ8" i="4"/>
  <c r="Z8" i="4"/>
  <c r="V8" i="4"/>
  <c r="O8" i="4"/>
  <c r="K8" i="4"/>
  <c r="I8" i="4"/>
  <c r="H8" i="4"/>
  <c r="W7" i="5"/>
  <c r="G7" i="5"/>
  <c r="F7" i="5"/>
  <c r="E7" i="5"/>
  <c r="A7" i="5"/>
  <c r="K7" i="4"/>
  <c r="I7" i="4"/>
  <c r="H7" i="4"/>
  <c r="W6" i="5"/>
  <c r="G6" i="5"/>
  <c r="F6" i="5"/>
  <c r="E6" i="5"/>
  <c r="A6" i="5"/>
  <c r="H6" i="4"/>
  <c r="B72" i="15" a="1"/>
  <c r="B2" i="15" a="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<sst xmlns="http://schemas.openxmlformats.org/spreadsheetml/2006/main" count="453" uniqueCount="246">
  <si>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</si>
  <si>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</si>
  <si>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</si>
  <si>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</si>
  <si>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</si>
  <si>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</si>
  <si>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</si>
  <si>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</si>
  <si>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</si>
  <si>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</si>
  <si>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</si>
  <si>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</si>
  <si>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</si>
  <si>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</si>
  <si>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</si>
  <si>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</si>
  <si>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</si>
  <si>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</si>
  <si>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</si>
  <si>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</si>
  <si>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</si>
  <si>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</si>
  <si>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</si>
  <si>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</si>
  <si>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</si>
  <si>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</si>
  <si>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</si>
  <si>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</si>
  <si>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</si>
  <si>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</si>
  <si>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</si>
  <si>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</si>
  <si>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</si>
  <si>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</si>
  <si>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</si>
  <si>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</si>
  <si>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</si>
  <si>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</si>
  <si>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</si>
  <si>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</si>
  <si>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</si>
  <si>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</si>
  <si>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</si>
  <si>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</si>
  <si>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</si>
  <si>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</si>
  <si>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</si>
  <si>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</si>
  <si>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</si>
  <si>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</si>
  <si>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</si>
  <si>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</si>
  <si>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</si>
  <si>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</si>
  <si>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</si>
  <si>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</si>
  <si>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</si>
  <si>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</si>
  <si>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</si>
  <si>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</si>
  <si>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</si>
  <si>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</si>
  <si>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</si>
  <si>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</si>
  <si>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</si>
  <si>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</si>
  <si>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</si>
  <si>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</si>
  <si>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</si>
  <si>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</si>
  <si>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</si>
  <si>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</si>
  <si>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</si>
  <si>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</si>
  <si>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</si>
  <si>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</si>
  <si>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</si>
  <si>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</si>
  <si>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</si>
  <si>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</si>
  <si>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</si>
  <si>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</si>
  <si>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</si>
  <si>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</si>
  <si>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</si>
  <si>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</si>
  <si>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</si>
  <si>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</si>
  <si>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</si>
  <si>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</si>
  <si>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</si>
  <si>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</si>
  <si>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</si>
  <si>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</si>
  <si>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</si>
  <si>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</si>
  <si>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</si>
  <si>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</si>
  <si>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</si>
  <si>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</si>
  <si>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</si>
  <si>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</si>
  <si>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</si>
  <si>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</si>
  <si>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</si>
  <si>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</si>
  <si>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</si>
  <si>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</si>
  <si>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</si>
  <si>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</si>
  <si>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</si>
  <si>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</si>
  <si>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</si>
  <si>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</si>
  <si>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</si>
  <si>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</si>
  <si>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</si>
  <si>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</si>
  <si>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</si>
  <si>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</si>
  <si>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</si>
  <si>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</si>
  <si>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</si>
  <si>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</si>
  <si>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</si>
  <si>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</si>
  <si>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</si>
  <si>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</si>
  <si>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</si>
  <si>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</si>
  <si>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</si>
  <si>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</si>
  <si>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</si>
  <si>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</si>
  <si>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</si>
  <si>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</si>
  <si>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</si>
  <si>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</si>
  <si>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</si>
  <si>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</si>
  <si>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</si>
  <si>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</si>
  <si>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</si>
  <si>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</si>
  <si>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</si>
  <si>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</si>
  <si>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</si>
  <si>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</si>
  <si>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</si>
  <si>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</si>
  <si>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</si>
  <si>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</si>
  <si>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</si>
  <si>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</si>
  <si>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</si>
  <si>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</si>
  <si>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</si>
  <si>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</si>
  <si>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</si>
  <si>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</si>
  <si>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</si>
  <si>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</si>
  <si>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</si>
  <si>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</si>
  <si>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</si>
  <si>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</si>
  <si>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</si>
  <si>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</si>
  <si>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</si>
  <si>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</si>
  <si>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</si>
  <si>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</si>
  <si>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</si>
  <si>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</si>
  <si>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</si>
  <si>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</si>
  <si>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</si>
  <si>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</si>
  <si>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</si>
  <si>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</si>
  <si>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</si>
  <si>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</si>
  <si>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</si>
  <si>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</si>
  <si>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</si>
  <si>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</si>
  <si>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</si>
  <si>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</si>
  <si>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</si>
  <si>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</si>
  <si>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</si>
  <si>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</si>
  <si>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</si>
  <si>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</si>
  <si>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</si>
  <si>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</si>
  <si>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</si>
  <si>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</si>
  <si>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</si>
  <si>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</si>
  <si>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</si>
  <si>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</si>
  <si>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</si>
  <si>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</si>
  <si>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</si>
  <si>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</si>
  <si>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</si>
  <si>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</si>
  <si>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</si>
  <si>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</si>
  <si>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</si>
  <si>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</si>
  <si>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</si>
  <si>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</si>
  <si>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</si>
  <si>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</si>
  <si>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</si>
  <si>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</si>
  <si>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</si>
  <si>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</si>
  <si>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</si>
  <si>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</si>
  <si>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</si>
  <si>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</si>
  <si>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</si>
  <si>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</si>
  <si>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</si>
  <si>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</si>
  <si>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</si>
  <si>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</si>
  <si>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</si>
  <si>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</si>
  <si>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</si>
  <si>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</si>
  <si>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</si>
  <si>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</si>
  <si>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</si>
  <si>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</si>
  <si>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</si>
  <si>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</si>
  <si>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</si>
  <si>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</si>
  <si>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</si>
  <si>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</si>
  <si>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</si>
  <si>
    <t>FlyingSub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</si>
</sst>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abSelected="1" topLeftCell="A65" zoomScale="125" workbookViewId="0">
      <selection activeCell="D78" sqref="D78"/>
    </sheetView>
  </sheetViews>
  <sheetFormatPr defaultColWidth="8.796875" defaultRowHeight="14.25"/>
  <cols>
    <col min="1" max="1" width="16.1328125" bestFit="1" customWidth="1"/>
    <col min="2" max="2" width="13.796875" bestFit="1" customWidth="1"/>
    <col min="3" max="3" width="11.33203125" style="1" customWidth="1"/>
    <col min="4" max="4" width="104.4648437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207</v>
      </c>
    </row>
    <row r="4" spans="1:4" ht="28.5">
      <c r="A4" s="3" t="s">
        <v>163</v>
      </c>
      <c r="B4" s="3" t="str">
        <v>altitude_o</v>
      </c>
      <c r="C4" s="4" t="s">
        <v>172</v>
      </c>
      <c r="D4" s="5" t="s">
        <v>171</v>
      </c>
    </row>
    <row r="5" spans="1:4" ht="28.5">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5">
      <c r="A11" s="3" t="s">
        <v>163</v>
      </c>
      <c r="B11" s="3" t="str">
        <v>Abase_f</v>
      </c>
      <c r="C11" s="4" t="s">
        <v>173</v>
      </c>
      <c r="D11" s="5" t="s">
        <v>106</v>
      </c>
    </row>
    <row r="12" spans="1:4">
      <c r="A12" s="3" t="s">
        <v>163</v>
      </c>
      <c r="B12" s="3" t="str">
        <v>Swet_f</v>
      </c>
      <c r="C12" s="4" t="s">
        <v>173</v>
      </c>
      <c r="D12" s="5" t="s">
        <v>107</v>
      </c>
    </row>
    <row r="13" spans="1:4" ht="28.5">
      <c r="A13" s="3" t="s">
        <v>163</v>
      </c>
      <c r="B13" s="3" t="str">
        <v>Q_f</v>
      </c>
      <c r="C13" s="4" t="s">
        <v>58</v>
      </c>
      <c r="D13" s="5" t="s">
        <v>108</v>
      </c>
    </row>
    <row r="14" spans="1:4" ht="28.5">
      <c r="A14" s="3" t="s">
        <v>163</v>
      </c>
      <c r="B14" s="3" t="str">
        <v>EWD</v>
      </c>
      <c r="C14" s="4" t="s">
        <v>58</v>
      </c>
      <c r="D14" s="5" t="s">
        <v>219</v>
      </c>
    </row>
    <row r="15" spans="1:4" ht="28.5">
      <c r="A15" s="3" t="s">
        <v>163</v>
      </c>
      <c r="B15" s="3" t="str">
        <v>Sref_w</v>
      </c>
      <c r="C15" s="4" t="s">
        <v>173</v>
      </c>
      <c r="D15" s="5" t="s">
        <v>109</v>
      </c>
    </row>
    <row r="16" spans="1:4" ht="28.5">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2.75">
      <c r="A21" s="3" t="s">
        <v>163</v>
      </c>
      <c r="B21" s="3" t="str">
        <v>Q_w</v>
      </c>
      <c r="C21" s="4" t="s">
        <v>58</v>
      </c>
      <c r="D21" s="5" t="s">
        <v>116</v>
      </c>
    </row>
    <row r="22" spans="1:4" ht="28.5" customHeight="1">
      <c r="A22" s="3" t="s">
        <v>163</v>
      </c>
      <c r="B22" s="3" t="str">
        <v>Sref-h1</v>
      </c>
      <c r="C22" s="4" t="s">
        <v>173</v>
      </c>
      <c r="D22" s="5" t="s">
        <v>117</v>
      </c>
    </row>
    <row r="23" spans="1:4" ht="28.5">
      <c r="A23" s="3" t="s">
        <v>163</v>
      </c>
      <c r="B23" s="3" t="str">
        <v>Swet_h1</v>
      </c>
      <c r="C23" s="4" t="s">
        <v>173</v>
      </c>
      <c r="D23" s="5" t="s">
        <v>118</v>
      </c>
    </row>
    <row r="24" spans="1:4">
      <c r="A24" s="3" t="s">
        <v>163</v>
      </c>
      <c r="B24" s="3" t="str">
        <v>AR_h1</v>
      </c>
      <c r="C24" s="4" t="s">
        <v>58</v>
      </c>
      <c r="D24" s="5" t="s">
        <v>119</v>
      </c>
    </row>
    <row r="25" spans="1:4" ht="28.5">
      <c r="A25" s="3" t="s">
        <v>163</v>
      </c>
      <c r="B25" s="3" t="str">
        <v>Taper_h1</v>
      </c>
      <c r="C25" s="4" t="s">
        <v>58</v>
      </c>
      <c r="D25" s="5" t="s">
        <v>121</v>
      </c>
    </row>
    <row r="26" spans="1:4">
      <c r="A26" s="3" t="s">
        <v>163</v>
      </c>
      <c r="B26" s="3" t="str">
        <v>Sweep_h1</v>
      </c>
      <c r="C26" s="4" t="s">
        <v>113</v>
      </c>
      <c r="D26" s="5" t="s">
        <v>123</v>
      </c>
    </row>
    <row r="27" spans="1:4" ht="28.5">
      <c r="A27" s="3" t="s">
        <v>163</v>
      </c>
      <c r="B27" s="3" t="str">
        <v>MAC_h1</v>
      </c>
      <c r="C27" s="4" t="s">
        <v>172</v>
      </c>
      <c r="D27" s="5" t="s">
        <v>124</v>
      </c>
    </row>
    <row r="28" spans="1:4" ht="42.75">
      <c r="A28" s="3" t="s">
        <v>163</v>
      </c>
      <c r="B28" s="3" t="str">
        <v>Q_h1</v>
      </c>
      <c r="C28" s="4" t="s">
        <v>58</v>
      </c>
      <c r="D28" s="5" t="s">
        <v>125</v>
      </c>
    </row>
    <row r="29" spans="1:4" ht="28.5">
      <c r="A29" s="3" t="s">
        <v>163</v>
      </c>
      <c r="B29" s="3" t="str">
        <v>Sref-h2</v>
      </c>
      <c r="C29" s="4" t="s">
        <v>173</v>
      </c>
      <c r="D29" s="5" t="s">
        <v>117</v>
      </c>
    </row>
    <row r="30" spans="1:4" ht="28.5">
      <c r="A30" s="3" t="s">
        <v>163</v>
      </c>
      <c r="B30" s="3" t="str">
        <v>Swet_h2</v>
      </c>
      <c r="C30" s="4" t="s">
        <v>173</v>
      </c>
      <c r="D30" s="5" t="s">
        <v>118</v>
      </c>
    </row>
    <row r="31" spans="1:4">
      <c r="A31" s="3" t="s">
        <v>163</v>
      </c>
      <c r="B31" s="3" t="str">
        <v>AR_h2</v>
      </c>
      <c r="C31" s="4" t="s">
        <v>58</v>
      </c>
      <c r="D31" s="5" t="s">
        <v>120</v>
      </c>
    </row>
    <row r="32" spans="1:4" ht="28.5">
      <c r="A32" s="3" t="s">
        <v>163</v>
      </c>
      <c r="B32" s="3" t="str">
        <v>Taper_h2</v>
      </c>
      <c r="C32" s="4" t="s">
        <v>58</v>
      </c>
      <c r="D32" s="5" t="s">
        <v>122</v>
      </c>
    </row>
    <row r="33" spans="1:4">
      <c r="A33" s="3" t="s">
        <v>163</v>
      </c>
      <c r="B33" s="3" t="str">
        <v>Sweep_h2</v>
      </c>
      <c r="C33" s="4" t="s">
        <v>113</v>
      </c>
      <c r="D33" s="5" t="s">
        <v>126</v>
      </c>
    </row>
    <row r="34" spans="1:4" ht="28.5">
      <c r="A34" s="3" t="s">
        <v>163</v>
      </c>
      <c r="B34" s="3" t="str">
        <v>MAC_h2</v>
      </c>
      <c r="C34" s="4" t="s">
        <v>172</v>
      </c>
      <c r="D34" s="5" t="s">
        <v>127</v>
      </c>
    </row>
    <row r="35" spans="1:4" ht="42.75">
      <c r="A35" s="3" t="s">
        <v>163</v>
      </c>
      <c r="B35" s="3" t="str">
        <v>Q_h2</v>
      </c>
      <c r="C35" s="4" t="s">
        <v>58</v>
      </c>
      <c r="D35" s="5" t="s">
        <v>128</v>
      </c>
    </row>
    <row r="36" spans="1:4">
      <c r="A36" s="3" t="s">
        <v>163</v>
      </c>
      <c r="B36" s="3" t="str">
        <v>Sref-v1</v>
      </c>
      <c r="C36" s="4" t="s">
        <v>173</v>
      </c>
      <c r="D36" s="5" t="s">
        <v>134</v>
      </c>
    </row>
    <row r="37" spans="1:4" ht="28.5">
      <c r="A37" s="3" t="s">
        <v>163</v>
      </c>
      <c r="B37" s="3" t="str">
        <v>Swet_v1</v>
      </c>
      <c r="C37" s="4" t="s">
        <v>173</v>
      </c>
      <c r="D37" s="5" t="s">
        <v>129</v>
      </c>
    </row>
    <row r="38" spans="1:4">
      <c r="A38" s="3" t="s">
        <v>163</v>
      </c>
      <c r="B38" s="3" t="str">
        <v>AR_v1</v>
      </c>
      <c r="C38" s="4" t="s">
        <v>58</v>
      </c>
      <c r="D38" s="5" t="s">
        <v>130</v>
      </c>
    </row>
    <row r="39" spans="1:4">
      <c r="A39" s="3" t="s">
        <v>163</v>
      </c>
      <c r="B39" s="3" t="str">
        <v>Taper_v1</v>
      </c>
      <c r="C39" s="4" t="s">
        <v>58</v>
      </c>
      <c r="D39" s="5" t="s">
        <v>131</v>
      </c>
    </row>
    <row r="40" spans="1:4">
      <c r="A40" s="3" t="s">
        <v>163</v>
      </c>
      <c r="B40" s="3" t="str">
        <v>Sweep_v1</v>
      </c>
      <c r="C40" s="4" t="s">
        <v>113</v>
      </c>
      <c r="D40" s="5" t="s">
        <v>132</v>
      </c>
    </row>
    <row r="41" spans="1:4" ht="28.5">
      <c r="A41" s="3" t="s">
        <v>163</v>
      </c>
      <c r="B41" s="3" t="str">
        <v>MAC_v1</v>
      </c>
      <c r="C41" s="4" t="s">
        <v>172</v>
      </c>
      <c r="D41" s="5" t="s">
        <v>133</v>
      </c>
    </row>
    <row r="42" spans="1:4" ht="42.75">
      <c r="A42" s="3" t="s">
        <v>163</v>
      </c>
      <c r="B42" s="3" t="str">
        <v>Q_v1</v>
      </c>
      <c r="C42" s="4" t="s">
        <v>58</v>
      </c>
      <c r="D42" s="5" t="s">
        <v>135</v>
      </c>
    </row>
    <row r="43" spans="1:4">
      <c r="A43" s="3" t="s">
        <v>163</v>
      </c>
      <c r="B43" s="3" t="str">
        <v>Sref-v2</v>
      </c>
      <c r="C43" s="4" t="s">
        <v>173</v>
      </c>
      <c r="D43" s="5" t="s">
        <v>136</v>
      </c>
    </row>
    <row r="44" spans="1:4" ht="28.5">
      <c r="A44" s="3" t="s">
        <v>163</v>
      </c>
      <c r="B44" s="3" t="str">
        <v>Swet_v2</v>
      </c>
      <c r="C44" s="4" t="s">
        <v>173</v>
      </c>
      <c r="D44" s="5" t="s">
        <v>137</v>
      </c>
    </row>
    <row r="45" spans="1:4">
      <c r="A45" s="3" t="s">
        <v>163</v>
      </c>
      <c r="B45" s="3" t="str">
        <v>AR_v2</v>
      </c>
      <c r="C45" s="4" t="s">
        <v>58</v>
      </c>
      <c r="D45" s="5" t="s">
        <v>138</v>
      </c>
    </row>
    <row r="46" spans="1:4">
      <c r="A46" s="3" t="s">
        <v>163</v>
      </c>
      <c r="B46" s="3" t="str">
        <v>Taper_v2</v>
      </c>
      <c r="C46" s="4" t="s">
        <v>58</v>
      </c>
      <c r="D46" s="5" t="s">
        <v>139</v>
      </c>
    </row>
    <row r="47" spans="1:4">
      <c r="A47" s="3" t="s">
        <v>163</v>
      </c>
      <c r="B47" s="3" t="str">
        <v>Sweep_v2</v>
      </c>
      <c r="C47" s="4" t="s">
        <v>113</v>
      </c>
      <c r="D47" s="5" t="s">
        <v>140</v>
      </c>
    </row>
    <row r="48" spans="1:4" ht="28.5">
      <c r="A48" s="3" t="s">
        <v>163</v>
      </c>
      <c r="B48" s="3" t="str">
        <v>MAC_v2</v>
      </c>
      <c r="C48" s="4" t="s">
        <v>172</v>
      </c>
      <c r="D48" s="5" t="s">
        <v>141</v>
      </c>
    </row>
    <row r="49" spans="1:4" ht="42.75">
      <c r="A49" s="3" t="s">
        <v>163</v>
      </c>
      <c r="B49" s="3" t="str">
        <v>Q_v2</v>
      </c>
      <c r="C49" s="4" t="s">
        <v>58</v>
      </c>
      <c r="D49" s="5" t="s">
        <v>142</v>
      </c>
    </row>
    <row r="50" spans="1:4">
      <c r="A50" s="24"/>
      <c r="B50" s="24"/>
      <c r="C50" s="25"/>
      <c r="D50" s="26"/>
    </row>
    <row r="51" spans="1:4">
      <c r="A51" s="3" t="s">
        <v>162</v>
      </c>
      <c r="B51" s="3" t="s">
        <v>44</v>
      </c>
      <c r="C51" s="4" t="s">
        <v>58</v>
      </c>
      <c r="D51" s="5" t="s">
        <v>192</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191</v>
      </c>
      <c r="B72" s="3" t="str" cm="1">
        <f t="array" ref="B72:B82">TRANSPOSE([1]Propulsion!A1:K1)</f>
        <v>Config</v>
      </c>
      <c r="C72" s="4" t="s">
        <v>58</v>
      </c>
      <c r="D72" s="5" t="s">
        <v>192</v>
      </c>
    </row>
    <row r="73" spans="1:4" ht="28.5">
      <c r="A73" s="3" t="s">
        <v>191</v>
      </c>
      <c r="B73" s="3" t="str">
        <v>PropType</v>
      </c>
      <c r="C73" s="4" t="s">
        <v>58</v>
      </c>
      <c r="D73" s="5" t="s">
        <v>193</v>
      </c>
    </row>
    <row r="74" spans="1:4">
      <c r="A74" s="3" t="s">
        <v>191</v>
      </c>
      <c r="B74" s="3" t="str">
        <v>Number</v>
      </c>
      <c r="C74" s="4" t="s">
        <v>58</v>
      </c>
      <c r="D74" s="5" t="s">
        <v>198</v>
      </c>
    </row>
    <row r="75" spans="1:4">
      <c r="A75" s="3" t="s">
        <v>191</v>
      </c>
      <c r="B75" s="3" t="str">
        <v>TA_mil_sl</v>
      </c>
      <c r="C75" s="4" t="s">
        <v>194</v>
      </c>
      <c r="D75" s="5" t="s">
        <v>199</v>
      </c>
    </row>
    <row r="76" spans="1:4">
      <c r="A76" s="3" t="s">
        <v>191</v>
      </c>
      <c r="B76" s="3" t="str">
        <v>TSFC_mil_sl</v>
      </c>
      <c r="C76" s="4" t="s">
        <v>195</v>
      </c>
      <c r="D76" s="5" t="s">
        <v>200</v>
      </c>
    </row>
    <row r="77" spans="1:4" ht="28.5">
      <c r="A77" s="3" t="s">
        <v>191</v>
      </c>
      <c r="B77" s="3" t="str">
        <v>TA_AB_sl</v>
      </c>
      <c r="C77" s="4" t="s">
        <v>194</v>
      </c>
      <c r="D77" s="5" t="s">
        <v>202</v>
      </c>
    </row>
    <row r="78" spans="1:4" ht="28.5">
      <c r="A78" s="3" t="s">
        <v>191</v>
      </c>
      <c r="B78" s="3" t="str">
        <v>TSFC_AB_sl</v>
      </c>
      <c r="C78" s="4" t="s">
        <v>195</v>
      </c>
      <c r="D78" s="5" t="s">
        <v>201</v>
      </c>
    </row>
    <row r="79" spans="1:4">
      <c r="A79" s="3" t="s">
        <v>191</v>
      </c>
      <c r="B79" s="3" t="str">
        <v>Install_loss</v>
      </c>
      <c r="C79" s="4" t="s">
        <v>58</v>
      </c>
      <c r="D79" s="5" t="s">
        <v>203</v>
      </c>
    </row>
    <row r="80" spans="1:4">
      <c r="A80" s="3" t="s">
        <v>191</v>
      </c>
      <c r="B80" s="3" t="str">
        <v>PA_shp_sl</v>
      </c>
      <c r="C80" s="4" t="s">
        <v>196</v>
      </c>
      <c r="D80" s="5" t="s">
        <v>204</v>
      </c>
    </row>
    <row r="81" spans="1:4">
      <c r="A81" s="3" t="s">
        <v>191</v>
      </c>
      <c r="B81" s="3" t="str">
        <v>SFC_sl</v>
      </c>
      <c r="C81" s="4" t="s">
        <v>197</v>
      </c>
      <c r="D81" s="5" t="s">
        <v>205</v>
      </c>
    </row>
    <row r="82" spans="1:4">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66" workbookViewId="0">
      <selection activeCell="B8" sqref="B8"/>
    </sheetView>
  </sheetViews>
  <sheetFormatPr defaultColWidth="8.796875" defaultRowHeight="14.25"/>
  <cols>
    <col min="1" max="1" width="8.796875" style="4"/>
    <col min="2" max="2" width="26.6640625" style="4" customWidth="1"/>
    <col min="3" max="3" width="9.796875" style="4" customWidth="1"/>
    <col min="4" max="12" width="8.796875" style="4"/>
    <col min="13" max="13" width="6.796875" style="4" customWidth="1"/>
    <col min="14" max="14" width="8.796875" style="4"/>
    <col min="15" max="15" width="12" style="4" bestFit="1" customWidth="1"/>
    <col min="16" max="16" width="8.796875" style="4"/>
    <col min="17" max="17" width="10.46484375" style="4" customWidth="1"/>
    <col min="18" max="18" width="16.1328125" style="4" bestFit="1" customWidth="1"/>
    <col min="19" max="19" width="15.796875" style="4" bestFit="1" customWidth="1"/>
    <col min="20" max="35" width="8.796875" style="4"/>
    <col min="36" max="36" width="12" style="4" bestFit="1" customWidth="1"/>
    <col min="37" max="16384" width="8.796875" style="4"/>
  </cols>
  <sheetData>
    <row r="1" spans="1:48">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180</v>
      </c>
      <c r="B2" s="4" t="s">
        <v>209</v>
      </c>
      <c r="C2" s="4">
        <v>0</v>
      </c>
      <c r="D2" s="4">
        <v>0.85</v>
      </c>
      <c r="E2" s="4">
        <v>1.6</v>
      </c>
      <c r="F2" s="4">
        <v>46.5</v>
      </c>
      <c r="G2" s="4">
        <v>4.5</v>
      </c>
      <c r="H2" s="4">
        <f t="shared" ref="H2:H8"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8" spans="1:48">
      <c r="A8" s="4" t="s">
        <v>245</v>
      </c>
      <c r="B8" s="4" t="s">
        <v>238</v>
      </c>
      <c r="C8" s="4">
        <v>0</v>
      </c>
      <c r="D8" s="4">
        <v>0.2</v>
      </c>
      <c r="E8" s="4">
        <v>0.23</v>
      </c>
      <c r="F8" s="4">
        <v>8</v>
      </c>
      <c r="G8" s="4">
        <v>4</v>
      </c>
      <c r="H8" s="4">
        <f t="shared" si="0"/>
        <v>2</v>
      </c>
      <c r="I8" s="4">
        <f t="shared" ref="I8" si="1">PI()*G8^2/4</f>
        <v>12.566370614359172</v>
      </c>
      <c r="J8" s="4">
        <v>0</v>
      </c>
      <c r="K8" s="4">
        <f t="shared" ref="K8" si="2">2*PI()*(G8/2)*F8</f>
        <v>100.53096491487338</v>
      </c>
      <c r="L8" s="4">
        <v>1</v>
      </c>
      <c r="M8" s="4">
        <v>1.2</v>
      </c>
      <c r="N8" s="4">
        <v>355</v>
      </c>
      <c r="O8" s="4">
        <f t="shared" ref="O8" si="3">N8*2</f>
        <v>710</v>
      </c>
      <c r="P8" s="4">
        <v>2.54</v>
      </c>
      <c r="Q8" s="4">
        <v>0.45</v>
      </c>
      <c r="R8" s="4">
        <v>8.51</v>
      </c>
      <c r="S8" s="4">
        <v>0</v>
      </c>
      <c r="T8" s="4">
        <v>1.1000000000000001</v>
      </c>
      <c r="U8" s="4">
        <v>155</v>
      </c>
      <c r="V8" s="4">
        <f t="shared" ref="V8" si="4">2*U8</f>
        <v>310</v>
      </c>
      <c r="W8" s="4">
        <v>3.12</v>
      </c>
      <c r="X8" s="4">
        <v>0.76</v>
      </c>
      <c r="Y8" s="4">
        <v>2.5</v>
      </c>
      <c r="Z8" s="4">
        <f t="shared" ref="Z8" si="5">(2/3)*((2*U8)/((SQRT(W8*U8))*(1+X8)))*(1+X8+X8^2)/(1+X8)</f>
        <v>7.0920559256256448</v>
      </c>
      <c r="AA8" s="4">
        <v>1.1000000000000001</v>
      </c>
      <c r="AB8" s="4">
        <v>0</v>
      </c>
      <c r="AC8" s="4">
        <v>0</v>
      </c>
      <c r="AD8" s="4">
        <v>0</v>
      </c>
      <c r="AE8" s="4">
        <v>0</v>
      </c>
      <c r="AF8" s="4">
        <v>0</v>
      </c>
      <c r="AG8" s="4">
        <v>0</v>
      </c>
      <c r="AH8" s="4">
        <v>0</v>
      </c>
      <c r="AI8" s="4">
        <v>31.59</v>
      </c>
      <c r="AJ8" s="4">
        <f t="shared" ref="AJ8" si="6">2*AI8</f>
        <v>63.18</v>
      </c>
      <c r="AK8" s="4">
        <v>1.58</v>
      </c>
      <c r="AL8" s="4">
        <v>0.57999999999999996</v>
      </c>
      <c r="AM8" s="4">
        <v>9.5399999999999991</v>
      </c>
      <c r="AN8" s="4">
        <f t="shared" ref="AN8" si="7">(2/3)*((2*AI8)/((SQRT(AK8*AI8))*(1+AL8)))*(1+AL8+AL8^2)/(1+AL8)</f>
        <v>4.5767479360666865</v>
      </c>
      <c r="AO8" s="4">
        <v>1.1000000000000001</v>
      </c>
      <c r="AP8" s="4">
        <v>0</v>
      </c>
      <c r="AQ8" s="4">
        <v>0</v>
      </c>
      <c r="AR8" s="4">
        <v>0</v>
      </c>
      <c r="AS8" s="4">
        <v>0</v>
      </c>
      <c r="AT8" s="4">
        <v>0</v>
      </c>
      <c r="AU8" s="4">
        <v>0</v>
      </c>
      <c r="AV8" s="4">
        <v>0</v>
      </c>
    </row>
    <row r="21"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G19" sqref="G19"/>
    </sheetView>
  </sheetViews>
  <sheetFormatPr defaultColWidth="8.796875" defaultRowHeight="14.25"/>
  <cols>
    <col min="1" max="1" width="8.796875" style="10"/>
    <col min="2" max="2" width="11.796875" style="10" bestFit="1" customWidth="1"/>
    <col min="3" max="42" width="8.796875" style="10"/>
    <col min="43" max="43" width="11.796875" style="10" bestFit="1" customWidth="1"/>
    <col min="44" max="44" width="8.796875" style="10"/>
    <col min="45" max="45" width="9.796875" style="10" bestFit="1" customWidth="1"/>
    <col min="46" max="46" width="11.796875" style="10" bestFit="1" customWidth="1"/>
    <col min="47" max="47" width="8.796875" style="10"/>
    <col min="48" max="49" width="10.33203125" style="10" bestFit="1" customWidth="1"/>
    <col min="50" max="50" width="8.796875" style="10"/>
    <col min="51" max="51" width="10.33203125" style="10" bestFit="1" customWidth="1"/>
    <col min="52" max="52" width="11.796875" style="10" bestFit="1" customWidth="1"/>
    <col min="53" max="16384" width="8.7968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8" spans="1:54">
      <c r="A8" s="10" t="s">
        <v>245</v>
      </c>
      <c r="B8" s="10" t="s">
        <v>214</v>
      </c>
      <c r="C8" s="10">
        <v>0.12</v>
      </c>
      <c r="D8" s="10">
        <v>0.3</v>
      </c>
      <c r="E8" s="3">
        <f>-0.483</f>
        <v>-0.48299999999999998</v>
      </c>
      <c r="F8" s="29">
        <f>-0.3983</f>
        <v>-0.39829999999999999</v>
      </c>
      <c r="G8" s="29">
        <f>-0.3108</f>
        <v>-0.31080000000000002</v>
      </c>
      <c r="H8" s="29">
        <v>-0.2485</v>
      </c>
      <c r="I8" s="29">
        <v>-0.1244</v>
      </c>
      <c r="J8" s="10">
        <v>-5.8900000000000001E-2</v>
      </c>
      <c r="K8" s="29">
        <v>0.13750000000000001</v>
      </c>
      <c r="L8" s="29">
        <v>0.30249999999999999</v>
      </c>
      <c r="M8" s="29">
        <v>0.45279999999999998</v>
      </c>
      <c r="N8" s="29">
        <v>0.59899999999999998</v>
      </c>
      <c r="O8" s="29">
        <v>0.7429</v>
      </c>
      <c r="P8" s="29">
        <v>0.85670000000000002</v>
      </c>
      <c r="Q8" s="29">
        <v>0.95979999999999999</v>
      </c>
      <c r="R8" s="10">
        <v>1.0251999999999999</v>
      </c>
      <c r="S8" s="10">
        <v>1.0969</v>
      </c>
      <c r="T8" s="29">
        <v>1.1591</v>
      </c>
      <c r="U8" s="29">
        <v>1.1391</v>
      </c>
      <c r="V8" s="10">
        <v>1.0009999999999999</v>
      </c>
      <c r="W8" s="10">
        <f>1.1591</f>
        <v>1.1591</v>
      </c>
      <c r="X8" s="29">
        <v>3.1399999999999997E-2</v>
      </c>
      <c r="Y8" s="29">
        <v>2.6689999999999998E-2</v>
      </c>
      <c r="Z8" s="29">
        <v>2.6689999999999998E-2</v>
      </c>
      <c r="AA8" s="29">
        <v>2.1329999999999998E-2</v>
      </c>
      <c r="AB8" s="29">
        <v>2.1909999999999999E-2</v>
      </c>
      <c r="AC8" s="29">
        <v>2.4060000000000002E-2</v>
      </c>
      <c r="AD8" s="29">
        <v>2.81E-2</v>
      </c>
      <c r="AE8" s="29">
        <v>3.099E-2</v>
      </c>
      <c r="AF8" s="29">
        <v>3.304E-2</v>
      </c>
      <c r="AG8" s="29">
        <v>3.3750000000000002E-2</v>
      </c>
      <c r="AH8" s="29">
        <v>3.2559999999999999E-2</v>
      </c>
      <c r="AI8" s="29">
        <v>3.159E-2</v>
      </c>
      <c r="AJ8" s="29">
        <v>3.0269999999999998E-2</v>
      </c>
      <c r="AK8" s="11">
        <v>3.245E-2</v>
      </c>
      <c r="AL8" s="11">
        <v>3.9794999999999997E-2</v>
      </c>
      <c r="AM8" s="29">
        <v>4.9970000000000001E-2</v>
      </c>
      <c r="AN8" s="29">
        <v>6.5100000000000005E-2</v>
      </c>
      <c r="AO8" s="11">
        <v>9.2009999999999995E-2</v>
      </c>
      <c r="AP8" s="29">
        <v>2.1329999999999998E-2</v>
      </c>
      <c r="AQ8" s="10" t="s">
        <v>181</v>
      </c>
      <c r="AR8" s="10">
        <v>0.04</v>
      </c>
      <c r="AS8" s="10">
        <v>0.3</v>
      </c>
      <c r="AT8" s="10">
        <v>0</v>
      </c>
      <c r="AU8" s="10">
        <v>0</v>
      </c>
      <c r="AV8" s="10">
        <v>0</v>
      </c>
      <c r="AW8" s="10" t="s">
        <v>181</v>
      </c>
      <c r="AX8" s="10">
        <v>0.04</v>
      </c>
      <c r="AY8" s="10">
        <v>0.3</v>
      </c>
      <c r="AZ8" s="10">
        <v>0</v>
      </c>
      <c r="BA8" s="10">
        <v>0</v>
      </c>
      <c r="BB8" s="10">
        <v>0</v>
      </c>
    </row>
    <row r="21"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opLeftCell="E1" zoomScale="164" workbookViewId="0">
      <selection activeCell="I8" sqref="I8"/>
    </sheetView>
  </sheetViews>
  <sheetFormatPr defaultColWidth="8.796875" defaultRowHeight="14.25"/>
  <cols>
    <col min="2" max="2" width="21.46484375" customWidth="1"/>
    <col min="4" max="4" width="10" customWidth="1"/>
    <col min="5" max="5" width="11.46484375" bestFit="1" customWidth="1"/>
    <col min="7" max="7" width="11.46484375" bestFit="1" customWidth="1"/>
    <col min="8" max="8" width="10.796875" bestFit="1" customWidth="1"/>
    <col min="9" max="9" width="10" bestFit="1" customWidth="1"/>
  </cols>
  <sheetData>
    <row r="1" spans="1:18">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c r="A3" t="str">
        <f>Main_Input!A3</f>
        <v>C172</v>
      </c>
      <c r="B3" t="s">
        <v>227</v>
      </c>
      <c r="C3">
        <v>1</v>
      </c>
      <c r="D3">
        <v>0</v>
      </c>
      <c r="E3">
        <v>0</v>
      </c>
      <c r="F3">
        <v>0</v>
      </c>
      <c r="G3">
        <v>0</v>
      </c>
      <c r="H3">
        <v>0</v>
      </c>
      <c r="I3">
        <v>160</v>
      </c>
      <c r="J3">
        <v>0.39</v>
      </c>
      <c r="K3">
        <v>0.8</v>
      </c>
      <c r="L3">
        <v>0</v>
      </c>
      <c r="M3">
        <v>0</v>
      </c>
      <c r="N3">
        <v>0</v>
      </c>
      <c r="O3">
        <v>0</v>
      </c>
      <c r="P3">
        <v>0</v>
      </c>
      <c r="Q3">
        <v>0</v>
      </c>
      <c r="R3">
        <v>0</v>
      </c>
    </row>
    <row r="4" spans="1:18">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c r="A6" t="s">
        <v>220</v>
      </c>
      <c r="B6" t="s">
        <v>188</v>
      </c>
      <c r="C6">
        <v>1</v>
      </c>
      <c r="D6">
        <v>0</v>
      </c>
      <c r="E6">
        <v>0</v>
      </c>
      <c r="F6">
        <v>0</v>
      </c>
      <c r="G6">
        <v>0</v>
      </c>
      <c r="H6">
        <v>0</v>
      </c>
      <c r="I6">
        <v>160</v>
      </c>
      <c r="J6">
        <v>0.39</v>
      </c>
      <c r="K6">
        <v>0.8</v>
      </c>
      <c r="L6">
        <v>0</v>
      </c>
      <c r="M6">
        <v>275</v>
      </c>
      <c r="N6">
        <v>0.9</v>
      </c>
      <c r="O6">
        <v>0.9</v>
      </c>
      <c r="P6">
        <v>0.9</v>
      </c>
      <c r="Q6">
        <v>200.47499999999999</v>
      </c>
      <c r="R6">
        <v>0.93</v>
      </c>
    </row>
    <row r="7" spans="1:18">
      <c r="A7" t="s">
        <v>243</v>
      </c>
      <c r="B7" t="s">
        <v>242</v>
      </c>
      <c r="C7">
        <v>2</v>
      </c>
      <c r="D7">
        <v>0</v>
      </c>
      <c r="E7">
        <v>0</v>
      </c>
      <c r="F7">
        <v>0</v>
      </c>
      <c r="G7">
        <v>0</v>
      </c>
      <c r="H7">
        <v>0</v>
      </c>
      <c r="I7">
        <v>6150</v>
      </c>
      <c r="J7">
        <v>0.42599999999999999</v>
      </c>
      <c r="K7">
        <v>0.7</v>
      </c>
      <c r="L7">
        <v>38</v>
      </c>
      <c r="M7">
        <v>0</v>
      </c>
      <c r="N7">
        <v>0</v>
      </c>
      <c r="O7">
        <v>0</v>
      </c>
      <c r="P7">
        <v>0</v>
      </c>
      <c r="Q7">
        <v>0</v>
      </c>
      <c r="R7">
        <v>0</v>
      </c>
    </row>
    <row r="8" spans="1:18">
      <c r="A8" t="s">
        <v>245</v>
      </c>
      <c r="B8" t="s">
        <v>188</v>
      </c>
      <c r="C8">
        <v>2</v>
      </c>
      <c r="D8">
        <v>0</v>
      </c>
      <c r="E8">
        <v>0</v>
      </c>
      <c r="F8">
        <v>0</v>
      </c>
      <c r="G8">
        <v>0</v>
      </c>
      <c r="H8">
        <v>0</v>
      </c>
      <c r="I8">
        <v>200</v>
      </c>
      <c r="J8">
        <v>0</v>
      </c>
      <c r="K8">
        <v>0.8</v>
      </c>
      <c r="L8">
        <v>0</v>
      </c>
      <c r="M8">
        <v>500</v>
      </c>
      <c r="N8">
        <v>0.9</v>
      </c>
      <c r="O8">
        <v>0.9</v>
      </c>
      <c r="P8">
        <v>0.9</v>
      </c>
      <c r="Q8">
        <f t="shared" ref="Q8" si="0">M8*N8*O8*P8</f>
        <v>364.5</v>
      </c>
      <c r="R8">
        <v>0.9</v>
      </c>
    </row>
    <row r="21"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96875" defaultRowHeight="14.25"/>
  <cols>
    <col min="1" max="1" width="19.33203125" customWidth="1"/>
    <col min="2" max="2" width="26.1328125" bestFit="1" customWidth="1"/>
    <col min="3" max="3" width="18.1328125" customWidth="1"/>
  </cols>
  <sheetData>
    <row r="1" spans="1:2">
      <c r="A1" t="s">
        <v>182</v>
      </c>
      <c r="B1" t="s">
        <v>208</v>
      </c>
    </row>
    <row r="2" spans="1:2">
      <c r="A2" t="s">
        <v>187</v>
      </c>
      <c r="B2" t="s">
        <v>209</v>
      </c>
    </row>
    <row r="3" spans="1:2">
      <c r="A3" t="s">
        <v>188</v>
      </c>
      <c r="B3" t="s">
        <v>210</v>
      </c>
    </row>
    <row r="4" spans="1:2">
      <c r="A4" t="s">
        <v>185</v>
      </c>
      <c r="B4" t="s">
        <v>211</v>
      </c>
    </row>
    <row r="5" spans="1:2">
      <c r="A5" t="s">
        <v>186</v>
      </c>
      <c r="B5" t="s">
        <v>212</v>
      </c>
    </row>
    <row r="6" spans="1:2">
      <c r="A6" t="s">
        <v>242</v>
      </c>
      <c r="B6" t="s">
        <v>228</v>
      </c>
    </row>
    <row r="7" spans="1:2">
      <c r="A7" t="s">
        <v>227</v>
      </c>
      <c r="B7" t="s">
        <v>229</v>
      </c>
    </row>
    <row r="8" spans="1:2">
      <c r="B8" s="28" t="s">
        <v>230</v>
      </c>
    </row>
    <row r="9" spans="1:2">
      <c r="B9" t="s">
        <v>231</v>
      </c>
    </row>
    <row r="10" spans="1:2">
      <c r="B10" s="28" t="s">
        <v>232</v>
      </c>
    </row>
    <row r="11" spans="1:2">
      <c r="B11" t="s">
        <v>241</v>
      </c>
    </row>
    <row r="12" spans="1:2">
      <c r="B12" s="28" t="s">
        <v>240</v>
      </c>
    </row>
    <row r="13" spans="1:2">
      <c r="B13" t="s">
        <v>233</v>
      </c>
    </row>
    <row r="14" spans="1:2">
      <c r="B14" t="s">
        <v>234</v>
      </c>
    </row>
    <row r="15" spans="1:2">
      <c r="B15" t="s">
        <v>235</v>
      </c>
    </row>
    <row r="16" spans="1:2">
      <c r="B16" t="s">
        <v>239</v>
      </c>
    </row>
    <row r="17" spans="2:2">
      <c r="B17" t="s">
        <v>236</v>
      </c>
    </row>
    <row r="18" spans="2:2">
      <c r="B18" t="s">
        <v>238</v>
      </c>
    </row>
    <row r="19" spans="2: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96875"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Ty Hensley</cp:lastModifiedBy>
  <dcterms:created xsi:type="dcterms:W3CDTF">2023-12-05T19:03:00Z</dcterms:created>
  <dcterms:modified xsi:type="dcterms:W3CDTF">2026-09-20T23:25:06Z</dcterms:modified>
</cp:coreProperties>
</file>