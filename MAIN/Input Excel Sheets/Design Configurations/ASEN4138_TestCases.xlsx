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cuments\GitHub\ASEN_Aircraft_Design\AES-AircraftDesignToolbox_update1\AES-AircraftDesignToolbox\MAIN\Input Excel Sheets\Design Configurations\"/>
    </mc:Choice>
  </mc:AlternateContent>
  <xr:revisionPtr revIDLastSave="0" documentId="13_ncr:1_{95C3BCBE-D999-46D6-B6B4-C476385426A0}" xr6:coauthVersionLast="47" xr6:coauthVersionMax="47" xr10:uidLastSave="{00000000-0000-0000-0000-000000000000}"/>
  <bookViews>
    <workbookView xWindow="1152" yWindow="1152" windowWidth="18684" windowHeight="10992"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3" l="1"/>
  <c r="O2" i="4"/>
  <c r="J2" i="4"/>
  <c r="I2" i="4"/>
  <c r="H2" i="4"/>
  <c r="W2" i="5"/>
  <c r="G2" i="5"/>
  <c r="F2" i="5"/>
  <c r="E2" i="5"/>
  <c r="B72" i="15" a="1"/>
  <c r="B72" i="15" s="1"/>
  <c r="B2" i="15" a="1"/>
  <c r="B2"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<sst xmlns="http://schemas.openxmlformats.org/spreadsheetml/2006/main" count="416" uniqueCount="238">
  <si>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</si>
  <si>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</si>
  <si>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</si>
  <si>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</si>
  <si>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</si>
  <si>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</si>
  <si>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</si>
  <si>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</si>
  <si>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</si>
  <si>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</si>
  <si>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</si>
  <si>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</si>
  <si>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</si>
  <si>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</si>
  <si>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</si>
  <si>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</si>
  <si>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</si>
  <si>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</si>
  <si>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</si>
  <si>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</si>
  <si>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</si>
  <si>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</si>
  <si>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</si>
  <si>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</si>
  <si>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</si>
  <si>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</si>
  <si>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</si>
  <si>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</si>
  <si>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</si>
  <si>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</si>
  <si>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</si>
  <si>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</si>
  <si>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</si>
  <si>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</si>
  <si>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</si>
  <si>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</si>
  <si>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</si>
  <si>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</si>
  <si>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</si>
  <si>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</si>
  <si>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</si>
  <si>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</si>
  <si>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</si>
  <si>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</si>
  <si>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</si>
  <si>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</si>
  <si>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</si>
  <si>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</si>
  <si>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</si>
  <si>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</si>
  <si>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</si>
  <si>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</si>
  <si>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</si>
  <si>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</si>
  <si>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</si>
  <si>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</si>
  <si>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</si>
  <si>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</si>
  <si>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</si>
  <si>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</si>
  <si>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</si>
  <si>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</si>
  <si>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</si>
  <si>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</si>
  <si>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</si>
  <si>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</si>
  <si>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</si>
  <si>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</si>
  <si>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</si>
  <si>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</si>
  <si>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</si>
  <si>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</si>
  <si>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</si>
  <si>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</si>
  <si>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</si>
  <si>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</si>
  <si>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</si>
  <si>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</si>
  <si>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</si>
  <si>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</si>
  <si>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</si>
  <si>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</si>
  <si>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</si>
  <si>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</si>
  <si>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</si>
  <si>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</si>
  <si>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</si>
  <si>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</si>
  <si>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</si>
  <si>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</si>
  <si>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</si>
  <si>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</si>
  <si>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</si>
  <si>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</si>
  <si>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</si>
  <si>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</si>
  <si>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</si>
  <si>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</si>
  <si>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</si>
  <si>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</si>
  <si>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</si>
  <si>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</si>
  <si>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</si>
  <si>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</si>
  <si>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</si>
  <si>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</si>
  <si>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</si>
  <si>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</si>
  <si>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</si>
  <si>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</si>
  <si>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</si>
  <si>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</si>
  <si>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</si>
  <si>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</si>
  <si>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</si>
  <si>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</si>
  <si>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</si>
  <si>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</si>
  <si>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</si>
  <si>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</si>
  <si>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</si>
  <si>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</si>
  <si>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</si>
  <si>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</si>
  <si>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</si>
  <si>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</si>
  <si>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</si>
  <si>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</si>
  <si>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</si>
  <si>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</si>
  <si>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</si>
  <si>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</si>
  <si>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</si>
  <si>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</si>
  <si>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</si>
  <si>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</si>
  <si>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</si>
  <si>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</si>
  <si>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</si>
  <si>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</si>
  <si>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</si>
  <si>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</si>
  <si>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</si>
  <si>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</si>
  <si>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</si>
  <si>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</si>
  <si>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</si>
  <si>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</si>
  <si>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</si>
  <si>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</si>
  <si>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</si>
  <si>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</si>
  <si>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</si>
  <si>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</si>
  <si>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</si>
  <si>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</si>
  <si>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</si>
  <si>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</si>
  <si>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</si>
  <si>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</si>
  <si>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</si>
  <si>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</si>
  <si>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</si>
  <si>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</si>
  <si>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</si>
  <si>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</si>
  <si>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</si>
  <si>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</si>
  <si>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</si>
  <si>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</si>
  <si>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</si>
  <si>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</si>
  <si>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</si>
  <si>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</si>
  <si>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</si>
  <si>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</si>
  <si>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</si>
  <si>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</si>
  <si>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</si>
  <si>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</si>
  <si>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</si>
  <si>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</si>
  <si>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</si>
  <si>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</si>
  <si>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</si>
  <si>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</si>
  <si>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</si>
  <si>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</si>
  <si>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</si>
  <si>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</si>
  <si>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</si>
  <si>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</si>
  <si>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</si>
  <si>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</si>
  <si>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</si>
  <si>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</si>
  <si>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</si>
  <si>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</si>
  <si>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</si>
  <si>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</si>
  <si>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</si>
  <si>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</si>
  <si>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</si>
  <si>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</si>
  <si>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</si>
  <si>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</si>
  <si>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</si>
  <si>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</si>
  <si>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</si>
  <si>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</si>
  <si>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</si>
  <si>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</si>
  <si>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NACA2412</t>
  </si>
  <si>
    <t>Emperical Wave Drag Factor.  Example valuse:  1 = Ideal Sears-Haack Body, Typcial range for supersonic aircraft is 1.8 - 2.2 for clean, smoothly blended contoured design, 2.5 - 3 = Bumpy volume distribution.  An F-15 has an EWD around 2.9.</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</si>
  <si>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</si>
  <si>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</si>
  <si>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</si>
  <si>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</si>
  <si>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</si>
  <si>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</si>
  <si>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</si>
  <si>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</si>
  <si>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</si>
  <si>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</si>
  <si>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</si>
  <si>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</si>
  <si>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</si>
  <si>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</si>
  <si>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</si>
  <si>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</si>
  <si>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</si>
  <si>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</si>
  <si>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</si>
  <si>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</si>
  <si>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</si>
  <si>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</si>
  <si>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Prop_Dia</t>
  </si>
  <si>
    <t>Submersible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</si>
</sst>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https://o365coloradoedu-my.sharepoint.com/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abSelected="1" topLeftCell="A11" zoomScale="125" workbookViewId="0">
      <selection activeCell="D74" sqref="D74"/>
    </sheetView>
  </sheetViews>
  <sheetFormatPr defaultColWidth="8.77734375" defaultRowHeight="14.4"/>
  <cols>
    <col min="1" max="1" width="16.109375" bestFit="1" customWidth="1"/>
    <col min="2" max="2" width="13.77734375" bestFit="1" customWidth="1"/>
    <col min="3" max="3" width="11.33203125" style="1" customWidth="1"/>
    <col min="4" max="4" width="104.44140625" style="2" customWidth="1"/>
  </cols>
  <sheetData>
    <row r="1" spans="1:4">
      <c r="A1" s="8" t="s">
        <v>161</v>
      </c>
      <c r="B1" s="6" t="s">
        <v>98</v>
      </c>
      <c r="C1" s="6" t="s">
        <v>99</v>
      </c>
      <c r="D1" s="7" t="s">
        <v>100</v>
      </c>
    </row>
    <row r="2" spans="1:4">
      <c r="A2" s="3" t="s">
        <v>163</v>
      </c>
      <c r="B2" s="3" t="str" cm="1">
        <f t="array" ref="B2:B49">TRANSPOSE([1]Main_Input!A1:AV1)</f>
        <v>Config</v>
      </c>
      <c r="C2" s="4" t="s">
        <v>58</v>
      </c>
      <c r="D2" s="5" t="s">
        <v>101</v>
      </c>
    </row>
    <row r="3" spans="1:4">
      <c r="A3" s="3" t="s">
        <v>163</v>
      </c>
      <c r="B3" s="3" t="str">
        <v>ACType</v>
      </c>
      <c r="C3" s="4" t="s">
        <v>58</v>
      </c>
      <c r="D3" s="2" t="s">
        <v>206</v>
      </c>
    </row>
    <row r="4" spans="1:4" ht="28.8">
      <c r="A4" s="3" t="s">
        <v>163</v>
      </c>
      <c r="B4" s="3" t="str">
        <v>altitude_o</v>
      </c>
      <c r="C4" s="4" t="s">
        <v>172</v>
      </c>
      <c r="D4" s="5" t="s">
        <v>171</v>
      </c>
    </row>
    <row r="5" spans="1:4" ht="28.8">
      <c r="A5" s="3" t="s">
        <v>163</v>
      </c>
      <c r="B5" s="3" t="str">
        <v>M_o</v>
      </c>
      <c r="C5" s="4" t="s">
        <v>58</v>
      </c>
      <c r="D5" s="5" t="s">
        <v>170</v>
      </c>
    </row>
    <row r="6" spans="1:4">
      <c r="A6" s="3" t="s">
        <v>163</v>
      </c>
      <c r="B6" s="3" t="str">
        <v>M_max</v>
      </c>
      <c r="C6" s="4" t="s">
        <v>58</v>
      </c>
      <c r="D6" s="5" t="s">
        <v>179</v>
      </c>
    </row>
    <row r="7" spans="1:4">
      <c r="A7" s="3" t="s">
        <v>163</v>
      </c>
      <c r="B7" s="3" t="str">
        <v>Length_f</v>
      </c>
      <c r="C7" s="4" t="s">
        <v>172</v>
      </c>
      <c r="D7" s="5" t="s">
        <v>102</v>
      </c>
    </row>
    <row r="8" spans="1:4">
      <c r="A8" s="3" t="s">
        <v>163</v>
      </c>
      <c r="B8" s="3" t="str">
        <v>Dia_f</v>
      </c>
      <c r="C8" s="4" t="s">
        <v>172</v>
      </c>
      <c r="D8" s="5" t="s">
        <v>103</v>
      </c>
    </row>
    <row r="9" spans="1:4">
      <c r="A9" s="3" t="s">
        <v>163</v>
      </c>
      <c r="B9" s="3" t="str">
        <v>Fine_f</v>
      </c>
      <c r="C9" s="4" t="s">
        <v>58</v>
      </c>
      <c r="D9" s="5" t="s">
        <v>104</v>
      </c>
    </row>
    <row r="10" spans="1:4">
      <c r="A10" s="3" t="s">
        <v>163</v>
      </c>
      <c r="B10" s="3" t="str">
        <v>Amax_f</v>
      </c>
      <c r="C10" s="4" t="s">
        <v>173</v>
      </c>
      <c r="D10" s="5" t="s">
        <v>105</v>
      </c>
    </row>
    <row r="11" spans="1:4" ht="28.8">
      <c r="A11" s="3" t="s">
        <v>163</v>
      </c>
      <c r="B11" s="3" t="str">
        <v>Abase_f</v>
      </c>
      <c r="C11" s="4" t="s">
        <v>173</v>
      </c>
      <c r="D11" s="5" t="s">
        <v>106</v>
      </c>
    </row>
    <row r="12" spans="1:4">
      <c r="A12" s="3" t="s">
        <v>163</v>
      </c>
      <c r="B12" s="3" t="str">
        <v>Swet_f</v>
      </c>
      <c r="C12" s="4" t="s">
        <v>173</v>
      </c>
      <c r="D12" s="5" t="s">
        <v>107</v>
      </c>
    </row>
    <row r="13" spans="1:4" ht="28.8">
      <c r="A13" s="3" t="s">
        <v>163</v>
      </c>
      <c r="B13" s="3" t="str">
        <v>Q_f</v>
      </c>
      <c r="C13" s="4" t="s">
        <v>58</v>
      </c>
      <c r="D13" s="5" t="s">
        <v>108</v>
      </c>
    </row>
    <row r="14" spans="1:4" ht="28.8">
      <c r="A14" s="3" t="s">
        <v>163</v>
      </c>
      <c r="B14" s="3" t="str">
        <v>EWD</v>
      </c>
      <c r="C14" s="4" t="s">
        <v>58</v>
      </c>
      <c r="D14" s="5" t="s">
        <v>213</v>
      </c>
    </row>
    <row r="15" spans="1:4" ht="28.8">
      <c r="A15" s="3" t="s">
        <v>163</v>
      </c>
      <c r="B15" s="3" t="str">
        <v>Sref_w</v>
      </c>
      <c r="C15" s="4" t="s">
        <v>173</v>
      </c>
      <c r="D15" s="5" t="s">
        <v>109</v>
      </c>
    </row>
    <row r="16" spans="1:4" ht="28.8">
      <c r="A16" s="3" t="s">
        <v>163</v>
      </c>
      <c r="B16" s="3" t="str">
        <v>Swet_w</v>
      </c>
      <c r="C16" s="4" t="s">
        <v>173</v>
      </c>
      <c r="D16" s="5" t="s">
        <v>110</v>
      </c>
    </row>
    <row r="17" spans="1:4">
      <c r="A17" s="3" t="s">
        <v>163</v>
      </c>
      <c r="B17" s="3" t="str">
        <v>AR_w</v>
      </c>
      <c r="C17" s="4" t="s">
        <v>58</v>
      </c>
      <c r="D17" s="5" t="s">
        <v>111</v>
      </c>
    </row>
    <row r="18" spans="1:4">
      <c r="A18" s="3" t="s">
        <v>163</v>
      </c>
      <c r="B18" s="3" t="str">
        <v>Taper_w</v>
      </c>
      <c r="C18" s="4" t="s">
        <v>58</v>
      </c>
      <c r="D18" s="5" t="s">
        <v>112</v>
      </c>
    </row>
    <row r="19" spans="1:4">
      <c r="A19" s="3" t="s">
        <v>163</v>
      </c>
      <c r="B19" s="3" t="str">
        <v>Sweep_w</v>
      </c>
      <c r="C19" s="4" t="s">
        <v>113</v>
      </c>
      <c r="D19" s="5" t="s">
        <v>114</v>
      </c>
    </row>
    <row r="20" spans="1:4">
      <c r="A20" s="3" t="s">
        <v>163</v>
      </c>
      <c r="B20" s="3" t="str">
        <v>QuarterSweep_w</v>
      </c>
      <c r="C20" s="4" t="s">
        <v>113</v>
      </c>
      <c r="D20" s="5" t="s">
        <v>115</v>
      </c>
    </row>
    <row r="21" spans="1:4" ht="43.2">
      <c r="A21" s="3" t="s">
        <v>163</v>
      </c>
      <c r="B21" s="3" t="str">
        <v>Q_w</v>
      </c>
      <c r="C21" s="4" t="s">
        <v>58</v>
      </c>
      <c r="D21" s="5" t="s">
        <v>116</v>
      </c>
    </row>
    <row r="22" spans="1:4" ht="28.5" customHeight="1">
      <c r="A22" s="3" t="s">
        <v>163</v>
      </c>
      <c r="B22" s="3" t="str">
        <v>Sref-h1</v>
      </c>
      <c r="C22" s="4" t="s">
        <v>173</v>
      </c>
      <c r="D22" s="5" t="s">
        <v>117</v>
      </c>
    </row>
    <row r="23" spans="1:4" ht="28.8">
      <c r="A23" s="3" t="s">
        <v>163</v>
      </c>
      <c r="B23" s="3" t="str">
        <v>Swet_h1</v>
      </c>
      <c r="C23" s="4" t="s">
        <v>173</v>
      </c>
      <c r="D23" s="5" t="s">
        <v>118</v>
      </c>
    </row>
    <row r="24" spans="1:4">
      <c r="A24" s="3" t="s">
        <v>163</v>
      </c>
      <c r="B24" s="3" t="str">
        <v>AR_h1</v>
      </c>
      <c r="C24" s="4" t="s">
        <v>58</v>
      </c>
      <c r="D24" s="5" t="s">
        <v>119</v>
      </c>
    </row>
    <row r="25" spans="1:4" ht="28.8">
      <c r="A25" s="3" t="s">
        <v>163</v>
      </c>
      <c r="B25" s="3" t="str">
        <v>Taper_h1</v>
      </c>
      <c r="C25" s="4" t="s">
        <v>58</v>
      </c>
      <c r="D25" s="5" t="s">
        <v>121</v>
      </c>
    </row>
    <row r="26" spans="1:4">
      <c r="A26" s="3" t="s">
        <v>163</v>
      </c>
      <c r="B26" s="3" t="str">
        <v>Sweep_h1</v>
      </c>
      <c r="C26" s="4" t="s">
        <v>113</v>
      </c>
      <c r="D26" s="5" t="s">
        <v>123</v>
      </c>
    </row>
    <row r="27" spans="1:4" ht="28.8">
      <c r="A27" s="3" t="s">
        <v>163</v>
      </c>
      <c r="B27" s="3" t="str">
        <v>MAC_h1</v>
      </c>
      <c r="C27" s="4" t="s">
        <v>172</v>
      </c>
      <c r="D27" s="5" t="s">
        <v>124</v>
      </c>
    </row>
    <row r="28" spans="1:4" ht="43.2">
      <c r="A28" s="3" t="s">
        <v>163</v>
      </c>
      <c r="B28" s="3" t="str">
        <v>Q_h1</v>
      </c>
      <c r="C28" s="4" t="s">
        <v>58</v>
      </c>
      <c r="D28" s="5" t="s">
        <v>125</v>
      </c>
    </row>
    <row r="29" spans="1:4" ht="28.8">
      <c r="A29" s="3" t="s">
        <v>163</v>
      </c>
      <c r="B29" s="3" t="str">
        <v>Sref-h2</v>
      </c>
      <c r="C29" s="4" t="s">
        <v>173</v>
      </c>
      <c r="D29" s="5" t="s">
        <v>117</v>
      </c>
    </row>
    <row r="30" spans="1:4" ht="28.8">
      <c r="A30" s="3" t="s">
        <v>163</v>
      </c>
      <c r="B30" s="3" t="str">
        <v>Swet_h2</v>
      </c>
      <c r="C30" s="4" t="s">
        <v>173</v>
      </c>
      <c r="D30" s="5" t="s">
        <v>118</v>
      </c>
    </row>
    <row r="31" spans="1:4">
      <c r="A31" s="3" t="s">
        <v>163</v>
      </c>
      <c r="B31" s="3" t="str">
        <v>AR_h2</v>
      </c>
      <c r="C31" s="4" t="s">
        <v>58</v>
      </c>
      <c r="D31" s="5" t="s">
        <v>120</v>
      </c>
    </row>
    <row r="32" spans="1:4" ht="28.8">
      <c r="A32" s="3" t="s">
        <v>163</v>
      </c>
      <c r="B32" s="3" t="str">
        <v>Taper_h2</v>
      </c>
      <c r="C32" s="4" t="s">
        <v>58</v>
      </c>
      <c r="D32" s="5" t="s">
        <v>122</v>
      </c>
    </row>
    <row r="33" spans="1:4">
      <c r="A33" s="3" t="s">
        <v>163</v>
      </c>
      <c r="B33" s="3" t="str">
        <v>Sweep_h2</v>
      </c>
      <c r="C33" s="4" t="s">
        <v>113</v>
      </c>
      <c r="D33" s="5" t="s">
        <v>126</v>
      </c>
    </row>
    <row r="34" spans="1:4" ht="28.8">
      <c r="A34" s="3" t="s">
        <v>163</v>
      </c>
      <c r="B34" s="3" t="str">
        <v>MAC_h2</v>
      </c>
      <c r="C34" s="4" t="s">
        <v>172</v>
      </c>
      <c r="D34" s="5" t="s">
        <v>127</v>
      </c>
    </row>
    <row r="35" spans="1:4" ht="43.2">
      <c r="A35" s="3" t="s">
        <v>163</v>
      </c>
      <c r="B35" s="3" t="str">
        <v>Q_h2</v>
      </c>
      <c r="C35" s="4" t="s">
        <v>58</v>
      </c>
      <c r="D35" s="5" t="s">
        <v>128</v>
      </c>
    </row>
    <row r="36" spans="1:4" ht="28.8">
      <c r="A36" s="3" t="s">
        <v>163</v>
      </c>
      <c r="B36" s="3" t="str">
        <v>Sref-v1</v>
      </c>
      <c r="C36" s="4" t="s">
        <v>173</v>
      </c>
      <c r="D36" s="5" t="s">
        <v>134</v>
      </c>
    </row>
    <row r="37" spans="1:4" ht="28.8">
      <c r="A37" s="3" t="s">
        <v>163</v>
      </c>
      <c r="B37" s="3" t="str">
        <v>Swet_v1</v>
      </c>
      <c r="C37" s="4" t="s">
        <v>173</v>
      </c>
      <c r="D37" s="5" t="s">
        <v>129</v>
      </c>
    </row>
    <row r="38" spans="1:4">
      <c r="A38" s="3" t="s">
        <v>163</v>
      </c>
      <c r="B38" s="3" t="str">
        <v>AR_v1</v>
      </c>
      <c r="C38" s="4" t="s">
        <v>58</v>
      </c>
      <c r="D38" s="5" t="s">
        <v>130</v>
      </c>
    </row>
    <row r="39" spans="1:4" ht="28.8">
      <c r="A39" s="3" t="s">
        <v>163</v>
      </c>
      <c r="B39" s="3" t="str">
        <v>Taper_v1</v>
      </c>
      <c r="C39" s="4" t="s">
        <v>58</v>
      </c>
      <c r="D39" s="5" t="s">
        <v>131</v>
      </c>
    </row>
    <row r="40" spans="1:4">
      <c r="A40" s="3" t="s">
        <v>163</v>
      </c>
      <c r="B40" s="3" t="str">
        <v>Sweep_v1</v>
      </c>
      <c r="C40" s="4" t="s">
        <v>113</v>
      </c>
      <c r="D40" s="5" t="s">
        <v>132</v>
      </c>
    </row>
    <row r="41" spans="1:4" ht="28.8">
      <c r="A41" s="3" t="s">
        <v>163</v>
      </c>
      <c r="B41" s="3" t="str">
        <v>MAC_v1</v>
      </c>
      <c r="C41" s="4" t="s">
        <v>172</v>
      </c>
      <c r="D41" s="5" t="s">
        <v>133</v>
      </c>
    </row>
    <row r="42" spans="1:4" ht="43.2">
      <c r="A42" s="3" t="s">
        <v>163</v>
      </c>
      <c r="B42" s="3" t="str">
        <v>Q_v1</v>
      </c>
      <c r="C42" s="4" t="s">
        <v>58</v>
      </c>
      <c r="D42" s="5" t="s">
        <v>135</v>
      </c>
    </row>
    <row r="43" spans="1:4" ht="28.8">
      <c r="A43" s="3" t="s">
        <v>163</v>
      </c>
      <c r="B43" s="3" t="str">
        <v>Sref-v2</v>
      </c>
      <c r="C43" s="4" t="s">
        <v>173</v>
      </c>
      <c r="D43" s="5" t="s">
        <v>136</v>
      </c>
    </row>
    <row r="44" spans="1:4" ht="28.8">
      <c r="A44" s="3" t="s">
        <v>163</v>
      </c>
      <c r="B44" s="3" t="str">
        <v>Swet_v2</v>
      </c>
      <c r="C44" s="4" t="s">
        <v>173</v>
      </c>
      <c r="D44" s="5" t="s">
        <v>137</v>
      </c>
    </row>
    <row r="45" spans="1:4">
      <c r="A45" s="3" t="s">
        <v>163</v>
      </c>
      <c r="B45" s="3" t="str">
        <v>AR_v2</v>
      </c>
      <c r="C45" s="4" t="s">
        <v>58</v>
      </c>
      <c r="D45" s="5" t="s">
        <v>138</v>
      </c>
    </row>
    <row r="46" spans="1:4" ht="28.8">
      <c r="A46" s="3" t="s">
        <v>163</v>
      </c>
      <c r="B46" s="3" t="str">
        <v>Taper_v2</v>
      </c>
      <c r="C46" s="4" t="s">
        <v>58</v>
      </c>
      <c r="D46" s="5" t="s">
        <v>139</v>
      </c>
    </row>
    <row r="47" spans="1:4">
      <c r="A47" s="3" t="s">
        <v>163</v>
      </c>
      <c r="B47" s="3" t="str">
        <v>Sweep_v2</v>
      </c>
      <c r="C47" s="4" t="s">
        <v>113</v>
      </c>
      <c r="D47" s="5" t="s">
        <v>140</v>
      </c>
    </row>
    <row r="48" spans="1:4" ht="28.8">
      <c r="A48" s="3" t="s">
        <v>163</v>
      </c>
      <c r="B48" s="3" t="str">
        <v>MAC_v2</v>
      </c>
      <c r="C48" s="4" t="s">
        <v>172</v>
      </c>
      <c r="D48" s="5" t="s">
        <v>141</v>
      </c>
    </row>
    <row r="49" spans="1:4" ht="43.2">
      <c r="A49" s="3" t="s">
        <v>163</v>
      </c>
      <c r="B49" s="3" t="str">
        <v>Q_v2</v>
      </c>
      <c r="C49" s="4" t="s">
        <v>58</v>
      </c>
      <c r="D49" s="5" t="s">
        <v>142</v>
      </c>
    </row>
    <row r="50" spans="1:4">
      <c r="A50" s="24"/>
      <c r="B50" s="24"/>
      <c r="C50" s="25"/>
      <c r="D50" s="26"/>
    </row>
    <row r="51" spans="1:4">
      <c r="A51" s="3" t="s">
        <v>162</v>
      </c>
      <c r="B51" s="3" t="s">
        <v>44</v>
      </c>
      <c r="C51" s="4" t="s">
        <v>58</v>
      </c>
      <c r="D51" s="5" t="s">
        <v>191</v>
      </c>
    </row>
    <row r="52" spans="1:4">
      <c r="A52" s="3" t="s">
        <v>162</v>
      </c>
      <c r="B52" s="3" t="s">
        <v>53</v>
      </c>
      <c r="C52" s="4" t="s">
        <v>58</v>
      </c>
      <c r="D52" s="5" t="s">
        <v>145</v>
      </c>
    </row>
    <row r="53" spans="1:4">
      <c r="A53" s="3" t="s">
        <v>162</v>
      </c>
      <c r="B53" s="3" t="s">
        <v>50</v>
      </c>
      <c r="C53" s="4" t="s">
        <v>58</v>
      </c>
      <c r="D53" s="5" t="s">
        <v>146</v>
      </c>
    </row>
    <row r="54" spans="1:4">
      <c r="A54" s="3" t="s">
        <v>162</v>
      </c>
      <c r="B54" s="3" t="s">
        <v>51</v>
      </c>
      <c r="C54" s="4" t="s">
        <v>58</v>
      </c>
      <c r="D54" s="5" t="s">
        <v>147</v>
      </c>
    </row>
    <row r="55" spans="1:4">
      <c r="A55" s="3" t="s">
        <v>162</v>
      </c>
      <c r="B55" s="3" t="s">
        <v>144</v>
      </c>
      <c r="C55" s="4" t="s">
        <v>58</v>
      </c>
      <c r="D55" s="5" t="s">
        <v>174</v>
      </c>
    </row>
    <row r="56" spans="1:4">
      <c r="A56" s="3" t="s">
        <v>162</v>
      </c>
      <c r="B56" s="3" t="s">
        <v>77</v>
      </c>
      <c r="C56" s="4" t="s">
        <v>58</v>
      </c>
      <c r="D56" s="5" t="s">
        <v>176</v>
      </c>
    </row>
    <row r="57" spans="1:4">
      <c r="A57" s="3" t="s">
        <v>162</v>
      </c>
      <c r="B57" s="3" t="s">
        <v>143</v>
      </c>
      <c r="C57" s="4" t="s">
        <v>58</v>
      </c>
      <c r="D57" s="5" t="s">
        <v>175</v>
      </c>
    </row>
    <row r="58" spans="1:4">
      <c r="A58" s="3" t="s">
        <v>162</v>
      </c>
      <c r="B58" s="3" t="s">
        <v>96</v>
      </c>
      <c r="C58" s="4" t="s">
        <v>58</v>
      </c>
      <c r="D58" s="5" t="s">
        <v>148</v>
      </c>
    </row>
    <row r="59" spans="1:4">
      <c r="A59" s="3" t="s">
        <v>162</v>
      </c>
      <c r="B59" s="3" t="s">
        <v>54</v>
      </c>
      <c r="C59" s="4" t="s">
        <v>58</v>
      </c>
      <c r="D59" s="5" t="s">
        <v>149</v>
      </c>
    </row>
    <row r="60" spans="1:4">
      <c r="A60" s="3" t="s">
        <v>162</v>
      </c>
      <c r="B60" s="3" t="s">
        <v>8</v>
      </c>
      <c r="C60" s="4" t="s">
        <v>58</v>
      </c>
      <c r="D60" s="5" t="s">
        <v>151</v>
      </c>
    </row>
    <row r="61" spans="1:4">
      <c r="A61" s="3" t="s">
        <v>162</v>
      </c>
      <c r="B61" s="3" t="s">
        <v>9</v>
      </c>
      <c r="C61" s="4" t="s">
        <v>58</v>
      </c>
      <c r="D61" s="5" t="s">
        <v>152</v>
      </c>
    </row>
    <row r="62" spans="1:4">
      <c r="A62" s="3" t="s">
        <v>162</v>
      </c>
      <c r="B62" s="3" t="s">
        <v>55</v>
      </c>
      <c r="C62" s="4" t="s">
        <v>58</v>
      </c>
      <c r="D62" s="5" t="s">
        <v>150</v>
      </c>
    </row>
    <row r="63" spans="1:4">
      <c r="A63" s="3" t="s">
        <v>162</v>
      </c>
      <c r="B63" s="3" t="s">
        <v>18</v>
      </c>
      <c r="C63" s="4" t="s">
        <v>58</v>
      </c>
      <c r="D63" s="5" t="s">
        <v>153</v>
      </c>
    </row>
    <row r="64" spans="1:4">
      <c r="A64" s="3" t="s">
        <v>162</v>
      </c>
      <c r="B64" s="3" t="s">
        <v>19</v>
      </c>
      <c r="C64" s="4" t="s">
        <v>58</v>
      </c>
      <c r="D64" s="5" t="s">
        <v>154</v>
      </c>
    </row>
    <row r="65" spans="1:4">
      <c r="A65" s="3" t="s">
        <v>162</v>
      </c>
      <c r="B65" s="3" t="s">
        <v>56</v>
      </c>
      <c r="C65" s="4" t="s">
        <v>58</v>
      </c>
      <c r="D65" s="5" t="s">
        <v>155</v>
      </c>
    </row>
    <row r="66" spans="1:4">
      <c r="A66" s="3" t="s">
        <v>162</v>
      </c>
      <c r="B66" s="3" t="s">
        <v>13</v>
      </c>
      <c r="C66" s="4" t="s">
        <v>58</v>
      </c>
      <c r="D66" s="5" t="s">
        <v>156</v>
      </c>
    </row>
    <row r="67" spans="1:4">
      <c r="A67" s="3" t="s">
        <v>162</v>
      </c>
      <c r="B67" s="3" t="s">
        <v>14</v>
      </c>
      <c r="C67" s="4" t="s">
        <v>58</v>
      </c>
      <c r="D67" s="5" t="s">
        <v>157</v>
      </c>
    </row>
    <row r="68" spans="1:4">
      <c r="A68" s="3" t="s">
        <v>162</v>
      </c>
      <c r="B68" s="3" t="s">
        <v>57</v>
      </c>
      <c r="C68" s="4" t="s">
        <v>58</v>
      </c>
      <c r="D68" s="5" t="s">
        <v>158</v>
      </c>
    </row>
    <row r="69" spans="1:4">
      <c r="A69" s="3" t="s">
        <v>162</v>
      </c>
      <c r="B69" s="3" t="s">
        <v>32</v>
      </c>
      <c r="C69" s="4" t="s">
        <v>58</v>
      </c>
      <c r="D69" s="5" t="s">
        <v>159</v>
      </c>
    </row>
    <row r="70" spans="1:4">
      <c r="A70" s="3" t="s">
        <v>162</v>
      </c>
      <c r="B70" s="3" t="s">
        <v>33</v>
      </c>
      <c r="C70" s="4" t="s">
        <v>58</v>
      </c>
      <c r="D70" s="5" t="s">
        <v>160</v>
      </c>
    </row>
    <row r="71" spans="1:4">
      <c r="A71" s="21"/>
      <c r="B71" s="21"/>
      <c r="C71" s="25"/>
      <c r="D71" s="27"/>
    </row>
    <row r="72" spans="1:4">
      <c r="A72" s="3" t="s">
        <v>190</v>
      </c>
      <c r="B72" s="3" t="str" cm="1">
        <f t="array" ref="B72:B82">TRANSPOSE([1]Propulsion!A1:K1)</f>
        <v>Config</v>
      </c>
      <c r="C72" s="4" t="s">
        <v>58</v>
      </c>
      <c r="D72" s="5" t="s">
        <v>191</v>
      </c>
    </row>
    <row r="73" spans="1:4" ht="28.8">
      <c r="A73" s="3" t="s">
        <v>190</v>
      </c>
      <c r="B73" s="3" t="str">
        <v>PropType</v>
      </c>
      <c r="C73" s="4" t="s">
        <v>58</v>
      </c>
      <c r="D73" s="5" t="s">
        <v>192</v>
      </c>
    </row>
    <row r="74" spans="1:4">
      <c r="A74" s="3" t="s">
        <v>190</v>
      </c>
      <c r="B74" s="3" t="str">
        <v>Number</v>
      </c>
      <c r="C74" s="4" t="s">
        <v>58</v>
      </c>
      <c r="D74" s="5" t="s">
        <v>197</v>
      </c>
    </row>
    <row r="75" spans="1:4">
      <c r="A75" s="3" t="s">
        <v>190</v>
      </c>
      <c r="B75" s="3" t="str">
        <v>TA_mil_sl</v>
      </c>
      <c r="C75" s="4" t="s">
        <v>193</v>
      </c>
      <c r="D75" s="5" t="s">
        <v>198</v>
      </c>
    </row>
    <row r="76" spans="1:4">
      <c r="A76" s="3" t="s">
        <v>190</v>
      </c>
      <c r="B76" s="3" t="str">
        <v>TSFC_mil_sl</v>
      </c>
      <c r="C76" s="4" t="s">
        <v>194</v>
      </c>
      <c r="D76" s="5" t="s">
        <v>199</v>
      </c>
    </row>
    <row r="77" spans="1:4" ht="28.8">
      <c r="A77" s="3" t="s">
        <v>190</v>
      </c>
      <c r="B77" s="3" t="str">
        <v>TA_AB_sl</v>
      </c>
      <c r="C77" s="4" t="s">
        <v>193</v>
      </c>
      <c r="D77" s="5" t="s">
        <v>201</v>
      </c>
    </row>
    <row r="78" spans="1:4" ht="28.8">
      <c r="A78" s="3" t="s">
        <v>190</v>
      </c>
      <c r="B78" s="3" t="str">
        <v>TSFC_AB_sl</v>
      </c>
      <c r="C78" s="4" t="s">
        <v>194</v>
      </c>
      <c r="D78" s="5" t="s">
        <v>200</v>
      </c>
    </row>
    <row r="79" spans="1:4">
      <c r="A79" s="3" t="s">
        <v>190</v>
      </c>
      <c r="B79" s="3" t="str">
        <v>Install_loss</v>
      </c>
      <c r="C79" s="4" t="s">
        <v>58</v>
      </c>
      <c r="D79" s="5" t="s">
        <v>202</v>
      </c>
    </row>
    <row r="80" spans="1:4">
      <c r="A80" s="3" t="s">
        <v>190</v>
      </c>
      <c r="B80" s="3" t="str">
        <v>PA_shp_sl</v>
      </c>
      <c r="C80" s="4" t="s">
        <v>195</v>
      </c>
      <c r="D80" s="5" t="s">
        <v>203</v>
      </c>
    </row>
    <row r="81" spans="1:4">
      <c r="A81" s="3" t="s">
        <v>190</v>
      </c>
      <c r="B81" s="3" t="str">
        <v>SFC_sl</v>
      </c>
      <c r="C81" s="4" t="s">
        <v>196</v>
      </c>
      <c r="D81" s="5" t="s">
        <v>204</v>
      </c>
    </row>
    <row r="82" spans="1:4">
      <c r="A82" s="3" t="s">
        <v>190</v>
      </c>
      <c r="B82" s="3" t="str">
        <v>Prop_eff</v>
      </c>
      <c r="C82" s="4" t="s">
        <v>58</v>
      </c>
      <c r="D82" s="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15"/>
  <sheetViews>
    <sheetView topLeftCell="Y1" zoomScale="166" workbookViewId="0">
      <selection activeCell="AX2" sqref="AX2"/>
    </sheetView>
  </sheetViews>
  <sheetFormatPr defaultColWidth="8.77734375" defaultRowHeight="14.4"/>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c r="A1" s="12" t="s">
        <v>44</v>
      </c>
      <c r="B1" s="12" t="s">
        <v>207</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c r="A2" s="4" t="s">
        <v>237</v>
      </c>
      <c r="B2" s="4" t="s">
        <v>225</v>
      </c>
      <c r="C2" s="4">
        <v>0</v>
      </c>
      <c r="D2" s="4">
        <v>0.13500000000000001</v>
      </c>
      <c r="E2" s="4">
        <v>0.15</v>
      </c>
      <c r="F2" s="4">
        <v>18</v>
      </c>
      <c r="G2" s="4">
        <v>5.5</v>
      </c>
      <c r="H2" s="4">
        <f>F2/G2</f>
        <v>3.2727272727272729</v>
      </c>
      <c r="I2" s="4">
        <f>((G2/2)^2)*3.1415</f>
        <v>23.757593750000002</v>
      </c>
      <c r="J2" s="4">
        <f>1.5^2*3.1415</f>
        <v>7.0683750000000005</v>
      </c>
      <c r="K2" s="4">
        <v>253.34</v>
      </c>
      <c r="L2" s="4">
        <v>1</v>
      </c>
      <c r="M2" s="4">
        <v>1</v>
      </c>
      <c r="N2" s="4">
        <v>190</v>
      </c>
      <c r="O2" s="4">
        <f>N2*2</f>
        <v>380</v>
      </c>
      <c r="P2" s="4">
        <v>6.5</v>
      </c>
      <c r="Q2" s="4">
        <v>0.4</v>
      </c>
      <c r="R2" s="4">
        <v>0</v>
      </c>
      <c r="S2" s="4">
        <v>0</v>
      </c>
      <c r="T2" s="4">
        <v>1.1000000000000001</v>
      </c>
      <c r="U2" s="4">
        <v>10.677</v>
      </c>
      <c r="V2" s="4">
        <v>21.355</v>
      </c>
      <c r="W2" s="4">
        <v>6.16</v>
      </c>
      <c r="X2" s="4">
        <v>0</v>
      </c>
      <c r="Y2" s="4">
        <v>0</v>
      </c>
      <c r="Z2" s="4">
        <v>1.3169999999999999</v>
      </c>
      <c r="AA2" s="4">
        <v>1.1000000000000001</v>
      </c>
      <c r="AB2" s="4">
        <v>0</v>
      </c>
      <c r="AC2" s="4">
        <v>0</v>
      </c>
      <c r="AD2" s="4">
        <v>0</v>
      </c>
      <c r="AE2" s="4">
        <v>0</v>
      </c>
      <c r="AF2" s="4">
        <v>0</v>
      </c>
      <c r="AG2" s="4">
        <v>0</v>
      </c>
      <c r="AH2" s="4">
        <v>0</v>
      </c>
      <c r="AI2" s="4">
        <v>11.69</v>
      </c>
      <c r="AJ2" s="4">
        <v>23.385000000000002</v>
      </c>
      <c r="AK2" s="4">
        <v>2.5</v>
      </c>
      <c r="AL2" s="4">
        <v>0.6</v>
      </c>
      <c r="AM2" s="4">
        <v>11.31</v>
      </c>
      <c r="AN2" s="4">
        <v>2.2080000000000002</v>
      </c>
      <c r="AO2" s="4">
        <v>1.1000000000000001</v>
      </c>
      <c r="AP2" s="4">
        <v>11.69</v>
      </c>
      <c r="AQ2" s="4">
        <v>23.385000000000002</v>
      </c>
      <c r="AR2" s="4">
        <v>2.5</v>
      </c>
      <c r="AS2" s="4">
        <v>0.6</v>
      </c>
      <c r="AT2" s="4">
        <v>11.31</v>
      </c>
      <c r="AU2" s="4">
        <v>2.2080000000000002</v>
      </c>
      <c r="AV2" s="4">
        <v>1.1000000000000001</v>
      </c>
    </row>
    <row r="15" spans="1:48" s="22" customForma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16"/>
  <sheetViews>
    <sheetView topLeftCell="AL1" workbookViewId="0">
      <selection activeCell="AZ4" sqref="AZ4"/>
    </sheetView>
  </sheetViews>
  <sheetFormatPr defaultColWidth="8.77734375" defaultRowHeight="14.4"/>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c r="A2" s="10" t="s">
        <v>237</v>
      </c>
      <c r="B2" s="10" t="s">
        <v>212</v>
      </c>
      <c r="C2" s="10">
        <v>0.12</v>
      </c>
      <c r="D2" s="10">
        <v>0.3</v>
      </c>
      <c r="E2" s="3">
        <f>-0.483</f>
        <v>-0.48299999999999998</v>
      </c>
      <c r="F2" s="29">
        <f>-0.3983</f>
        <v>-0.39829999999999999</v>
      </c>
      <c r="G2" s="29">
        <f>-0.3108</f>
        <v>-0.31080000000000002</v>
      </c>
      <c r="H2" s="29">
        <v>-0.2485</v>
      </c>
      <c r="I2" s="29">
        <v>-0.1244</v>
      </c>
      <c r="J2" s="10">
        <v>-5.8900000000000001E-2</v>
      </c>
      <c r="K2" s="29">
        <v>0.13750000000000001</v>
      </c>
      <c r="L2" s="29">
        <v>0.30249999999999999</v>
      </c>
      <c r="M2" s="29">
        <v>0.45279999999999998</v>
      </c>
      <c r="N2" s="29">
        <v>0.59899999999999998</v>
      </c>
      <c r="O2" s="29">
        <v>0.7429</v>
      </c>
      <c r="P2" s="29">
        <v>0.85670000000000002</v>
      </c>
      <c r="Q2" s="29">
        <v>0.95979999999999999</v>
      </c>
      <c r="R2" s="10">
        <v>1.0251999999999999</v>
      </c>
      <c r="S2" s="10">
        <v>1.0969</v>
      </c>
      <c r="T2" s="29">
        <v>1.1591</v>
      </c>
      <c r="U2" s="29">
        <v>1.1391</v>
      </c>
      <c r="V2" s="10">
        <v>1.0009999999999999</v>
      </c>
      <c r="W2" s="10">
        <f>1.1591</f>
        <v>1.1591</v>
      </c>
      <c r="X2" s="29">
        <v>3.1399999999999997E-2</v>
      </c>
      <c r="Y2" s="29">
        <v>2.6689999999999998E-2</v>
      </c>
      <c r="Z2" s="29">
        <v>2.6689999999999998E-2</v>
      </c>
      <c r="AA2" s="29">
        <v>2.1329999999999998E-2</v>
      </c>
      <c r="AB2" s="29">
        <v>2.1909999999999999E-2</v>
      </c>
      <c r="AC2" s="29">
        <v>2.4060000000000002E-2</v>
      </c>
      <c r="AD2" s="29">
        <v>2.81E-2</v>
      </c>
      <c r="AE2" s="29">
        <v>3.099E-2</v>
      </c>
      <c r="AF2" s="29">
        <v>3.304E-2</v>
      </c>
      <c r="AG2" s="29">
        <v>3.3750000000000002E-2</v>
      </c>
      <c r="AH2" s="29">
        <v>3.2559999999999999E-2</v>
      </c>
      <c r="AI2" s="29">
        <v>3.159E-2</v>
      </c>
      <c r="AJ2" s="29">
        <v>3.0269999999999998E-2</v>
      </c>
      <c r="AK2" s="11">
        <v>3.245E-2</v>
      </c>
      <c r="AL2" s="11">
        <v>3.9794999999999997E-2</v>
      </c>
      <c r="AM2" s="29">
        <v>4.9970000000000001E-2</v>
      </c>
      <c r="AN2" s="29">
        <v>6.5100000000000005E-2</v>
      </c>
      <c r="AO2" s="11">
        <v>9.2009999999999995E-2</v>
      </c>
      <c r="AP2" s="29">
        <v>2.1329999999999998E-2</v>
      </c>
      <c r="AQ2" s="10" t="s">
        <v>180</v>
      </c>
      <c r="AR2" s="10">
        <v>0.04</v>
      </c>
      <c r="AS2" s="10">
        <v>0.3</v>
      </c>
      <c r="AT2" s="10">
        <v>0</v>
      </c>
      <c r="AU2" s="10">
        <v>0</v>
      </c>
      <c r="AV2" s="10">
        <v>0</v>
      </c>
      <c r="AW2" s="10" t="s">
        <v>180</v>
      </c>
      <c r="AX2" s="10">
        <v>0.04</v>
      </c>
      <c r="AY2" s="10">
        <v>0.3</v>
      </c>
      <c r="AZ2" s="10" t="s">
        <v>180</v>
      </c>
      <c r="BA2" s="10">
        <v>0.04</v>
      </c>
      <c r="BB2" s="10">
        <v>0.3</v>
      </c>
    </row>
    <row r="16" spans="1:54" s="23"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15"/>
  <sheetViews>
    <sheetView zoomScale="164" workbookViewId="0">
      <selection activeCell="P4" sqref="P4"/>
    </sheetView>
  </sheetViews>
  <sheetFormatPr defaultColWidth="8.77734375" defaultRowHeight="14.4"/>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s>
  <sheetData>
    <row r="1" spans="1:18">
      <c r="A1" s="20" t="s">
        <v>44</v>
      </c>
      <c r="B1" s="20" t="s">
        <v>181</v>
      </c>
      <c r="C1" s="20" t="s">
        <v>164</v>
      </c>
      <c r="D1" s="18" t="s">
        <v>188</v>
      </c>
      <c r="E1" s="18" t="s">
        <v>189</v>
      </c>
      <c r="F1" s="18" t="s">
        <v>182</v>
      </c>
      <c r="G1" s="18" t="s">
        <v>183</v>
      </c>
      <c r="H1" s="18" t="s">
        <v>168</v>
      </c>
      <c r="I1" s="19" t="s">
        <v>165</v>
      </c>
      <c r="J1" s="19" t="s">
        <v>166</v>
      </c>
      <c r="K1" s="19" t="s">
        <v>167</v>
      </c>
      <c r="L1" s="19" t="s">
        <v>236</v>
      </c>
      <c r="M1" s="30" t="s">
        <v>214</v>
      </c>
      <c r="N1" s="30" t="s">
        <v>215</v>
      </c>
      <c r="O1" s="30" t="s">
        <v>216</v>
      </c>
      <c r="P1" s="30" t="s">
        <v>217</v>
      </c>
      <c r="Q1" s="30" t="s">
        <v>218</v>
      </c>
      <c r="R1" s="30" t="s">
        <v>219</v>
      </c>
    </row>
    <row r="2" spans="1:18">
      <c r="A2" t="s">
        <v>237</v>
      </c>
      <c r="B2" t="s">
        <v>187</v>
      </c>
      <c r="C2">
        <v>1</v>
      </c>
      <c r="D2">
        <v>0</v>
      </c>
      <c r="E2">
        <v>0</v>
      </c>
      <c r="F2">
        <v>0</v>
      </c>
      <c r="G2">
        <v>0</v>
      </c>
      <c r="H2">
        <v>0</v>
      </c>
      <c r="I2">
        <v>500</v>
      </c>
      <c r="J2">
        <v>0.39</v>
      </c>
      <c r="K2">
        <v>0.8</v>
      </c>
      <c r="L2">
        <v>6</v>
      </c>
      <c r="M2">
        <v>288</v>
      </c>
      <c r="N2">
        <v>0.95</v>
      </c>
      <c r="O2">
        <v>0.9</v>
      </c>
      <c r="P2">
        <v>0.9</v>
      </c>
      <c r="Q2">
        <f>M2*N2*O2*P2</f>
        <v>221.61599999999999</v>
      </c>
      <c r="R2">
        <v>0.93</v>
      </c>
    </row>
    <row r="15" spans="1:18" s="21" customFormat="1"/>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B2:B14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cols>
    <col min="1" max="1" width="19.33203125" customWidth="1"/>
    <col min="2" max="2" width="26.109375" bestFit="1" customWidth="1"/>
    <col min="3" max="3" width="18.109375" customWidth="1"/>
  </cols>
  <sheetData>
    <row r="1" spans="1:2">
      <c r="A1" t="s">
        <v>181</v>
      </c>
      <c r="B1" t="s">
        <v>207</v>
      </c>
    </row>
    <row r="2" spans="1:2">
      <c r="A2" t="s">
        <v>186</v>
      </c>
      <c r="B2" t="s">
        <v>208</v>
      </c>
    </row>
    <row r="3" spans="1:2">
      <c r="A3" t="s">
        <v>187</v>
      </c>
      <c r="B3" t="s">
        <v>209</v>
      </c>
    </row>
    <row r="4" spans="1:2">
      <c r="A4" t="s">
        <v>184</v>
      </c>
      <c r="B4" t="s">
        <v>210</v>
      </c>
    </row>
    <row r="5" spans="1:2">
      <c r="A5" t="s">
        <v>185</v>
      </c>
      <c r="B5" t="s">
        <v>211</v>
      </c>
    </row>
    <row r="6" spans="1:2">
      <c r="A6" t="s">
        <v>235</v>
      </c>
      <c r="B6" t="s">
        <v>221</v>
      </c>
    </row>
    <row r="7" spans="1:2">
      <c r="A7" t="s">
        <v>220</v>
      </c>
      <c r="B7" t="s">
        <v>222</v>
      </c>
    </row>
    <row r="8" spans="1:2">
      <c r="B8" s="28" t="s">
        <v>223</v>
      </c>
    </row>
    <row r="9" spans="1:2">
      <c r="B9" t="s">
        <v>224</v>
      </c>
    </row>
    <row r="10" spans="1:2">
      <c r="B10" s="28" t="s">
        <v>225</v>
      </c>
    </row>
    <row r="11" spans="1:2">
      <c r="B11" t="s">
        <v>234</v>
      </c>
    </row>
    <row r="12" spans="1:2">
      <c r="B12" s="28" t="s">
        <v>233</v>
      </c>
    </row>
    <row r="13" spans="1:2">
      <c r="B13" t="s">
        <v>226</v>
      </c>
    </row>
    <row r="14" spans="1:2">
      <c r="B14" t="s">
        <v>227</v>
      </c>
    </row>
    <row r="15" spans="1:2">
      <c r="B15" t="s">
        <v>228</v>
      </c>
    </row>
    <row r="16" spans="1:2">
      <c r="B16" t="s">
        <v>232</v>
      </c>
    </row>
    <row r="17" spans="2:2">
      <c r="B17" t="s">
        <v>229</v>
      </c>
    </row>
    <row r="18" spans="2:2">
      <c r="B18" t="s">
        <v>231</v>
      </c>
    </row>
    <row r="19" spans="2:2">
      <c r="B19" t="s">
        <v>230</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7734375"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Daniel Gruenbauer</cp:lastModifiedBy>
  <dcterms:created xsi:type="dcterms:W3CDTF">2023-12-05T19:03:00Z</dcterms:created>
  <dcterms:modified xsi:type="dcterms:W3CDTF">2026-09-11T17:26:08Z</dcterms:modified>
</cp:coreProperties>
</file>