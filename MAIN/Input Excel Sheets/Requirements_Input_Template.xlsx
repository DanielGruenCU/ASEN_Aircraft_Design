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st\Downloads\CU Classes\2026 Fall\Aircraft Design\AES-AircraftDesignToolbox_update1\AES-AircraftDesignToolbox\MAIN\Input Excel Sheets\Point Performance Requirements\"/>
    </mc:Choice>
  </mc:AlternateContent>
  <xr:revisionPtr revIDLastSave="0" documentId="13_ncr:1_{64EE26A0-ABC1-4560-9C01-078C4E4244FC}" xr6:coauthVersionLast="47" xr6:coauthVersionMax="47" xr10:uidLastSave="{00000000-0000-0000-0000-000000000000}"/>
  <bookViews>
    <workbookView xWindow="-98" yWindow="-98" windowWidth="21795" windowHeight="12975" activeTab="5" xr2:uid="{AC12A90C-16A5-0547-A6DB-57534C200D25}"/>
  </bookViews>
  <sheets>
    <sheet name="Templates" sheetId="2" r:id="rId1"/>
    <sheet name="F16" sheetId="1" r:id="rId2"/>
    <sheet name="C172" sheetId="3" r:id="rId3"/>
    <sheet name="B747" sheetId="6" r:id="rId4"/>
    <sheet name="TurboTilt" sheetId="8" r:id="rId5"/>
    <sheet name="FlyingSub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<sst xmlns="http://schemas.openxmlformats.org/spreadsheetml/2006/main" count="488" uniqueCount="46">
  <si>
    <t>Coef Friction</t>
  </si>
  <si>
    <t>Altitude [ft]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</si>
  <si>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</si>
  <si>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</si>
  <si>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</si>
  <si>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</si>
  <si>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</si>
  <si>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</si>
  <si>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</si>
  <si>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</si>
  <si>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Requirement #</t>
  </si>
  <si>
    <t>Requirement Type</t>
  </si>
  <si>
    <t>Takeoff Distance</t>
  </si>
  <si>
    <t>Beta</t>
  </si>
  <si>
    <t>Throttle</t>
  </si>
  <si>
    <t>CL Max</t>
  </si>
  <si>
    <t>CDx</t>
  </si>
  <si>
    <t>Takeoff Distance [ft]</t>
  </si>
  <si>
    <t>MIL</t>
  </si>
  <si>
    <t>Label</t>
  </si>
  <si>
    <t>TO A</t>
  </si>
  <si>
    <t>TO B</t>
  </si>
  <si>
    <t>Stall Velocity</t>
  </si>
  <si>
    <t>Stall Velocity [kts]</t>
  </si>
  <si>
    <t>Absolute Ceiling</t>
  </si>
  <si>
    <t xml:space="preserve">Mach </t>
  </si>
  <si>
    <t>n</t>
  </si>
  <si>
    <t>Rate of Climb [ft/s]</t>
  </si>
  <si>
    <t>Acceleration [ft/s^2]</t>
  </si>
  <si>
    <t>Cdx</t>
  </si>
  <si>
    <t>Service Ceiling</t>
  </si>
  <si>
    <t>Sustained Turn</t>
  </si>
  <si>
    <t>Input 9</t>
  </si>
  <si>
    <t>Max Mach</t>
  </si>
  <si>
    <t>AB</t>
  </si>
  <si>
    <t>PROP</t>
  </si>
  <si>
    <t>Landing Distance</t>
  </si>
  <si>
    <t>Landing Distance [ft]</t>
  </si>
  <si>
    <t xml:space="preserve">Takeoff </t>
  </si>
  <si>
    <t xml:space="preserve">Landing </t>
  </si>
  <si>
    <t>Landing</t>
  </si>
  <si>
    <t>Takeoff</t>
  </si>
  <si>
    <t>VTOL</t>
  </si>
  <si>
    <t>Altitude[ft]</t>
  </si>
  <si>
    <t>V_Climb [ft/s]</t>
  </si>
  <si>
    <t>VTOL Takeoff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</si>
</sst>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8"/>
      <name val="Aptos Narrow"/>
      <family val="2"/>
      <scheme val="minor"/>
    </font>
    <font>
      <b/>
      <sz val="12"/>
      <color rgb="FF000000"/>
      <name val="Arial Unicode MS"/>
      <family val="2"/>
    </font>
    <font>
      <b/>
      <sz val="12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2" fillId="0" borderId="1" xfId="0" quotePrefix="1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0" xfId="0" applyFont="1"/>
    <xf numFmtId="0" fontId="4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13" xfId="0" applyFont="1" applyBorder="1"/>
    <xf numFmtId="0" fontId="4" fillId="0" borderId="13" xfId="0" applyFont="1" applyBorder="1"/>
    <xf numFmtId="0" fontId="1" fillId="0" borderId="15" xfId="0" applyFont="1" applyBorder="1"/>
    <xf numFmtId="0" fontId="1" fillId="2" borderId="5" xfId="0" applyFont="1" applyFill="1" applyBorder="1"/>
    <xf numFmtId="0" fontId="1" fillId="2" borderId="14" xfId="0" applyFont="1" applyFill="1" applyBorder="1"/>
    <xf numFmtId="0" fontId="2" fillId="2" borderId="1" xfId="0" applyFont="1" applyFill="1" applyBorder="1"/>
    <xf numFmtId="0" fontId="2" fillId="0" borderId="16" xfId="0" applyFont="1" applyBorder="1"/>
    <xf numFmtId="0" fontId="1" fillId="2" borderId="2" xfId="0" applyFont="1" applyFill="1" applyBorder="1"/>
    <xf numFmtId="0" fontId="1" fillId="2" borderId="15" xfId="0" applyFont="1" applyFill="1" applyBorder="1"/>
    <xf numFmtId="0" fontId="5" fillId="2" borderId="2" xfId="0" applyFont="1" applyFill="1" applyBorder="1"/>
    <xf numFmtId="0" fontId="5" fillId="2" borderId="1" xfId="0" applyFont="1" applyFill="1" applyBorder="1"/>
    <xf numFmtId="0" fontId="5" fillId="0" borderId="0" xfId="0" applyFont="1"/>
  </cellXfs>
  <cellStyles count="1">
    <cellStyle name="Normal" xfId="0" builtinId="0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D8E600-FE9F-5C45-8634-0D6DD0E667E3}" name="Table3" displayName="Table3" ref="A1:K200" totalsRowShown="0" headerRowDxfId="73" dataDxfId="72" tableBorderDxfId="71">
  <autoFilter ref="A1:K200" xr:uid="{E9D8E600-FE9F-5C45-8634-0D6DD0E667E3}"/>
  <tableColumns count="11">
    <tableColumn id="1" xr3:uid="{F919674C-10DC-DE44-A9F3-90B3D200DA5E}" name="Requirement #" dataDxfId="70"/>
    <tableColumn id="2" xr3:uid="{CBE9135E-D43C-B64F-82F2-4030E55EBC51}" name="Requirement Type" dataDxfId="69"/>
    <tableColumn id="3" xr3:uid="{41824150-61A9-7E43-BA0E-0D841F02D9D0}" name="Input 1" dataDxfId="68"/>
    <tableColumn id="4" xr3:uid="{2CB221DF-97B6-3A4B-AA29-385AAD8EC923}" name="Input 2" dataDxfId="67"/>
    <tableColumn id="5" xr3:uid="{8A52CDC3-99A4-6F43-8D92-A339D636927D}" name="Input 3" dataDxfId="66"/>
    <tableColumn id="6" xr3:uid="{14091491-0BCB-3A45-9BC5-4515396CA540}" name="Input 4" dataDxfId="65"/>
    <tableColumn id="7" xr3:uid="{3E4C5F17-B6DA-944B-9CFE-147012A5B23F}" name="Input 5" dataDxfId="64"/>
    <tableColumn id="8" xr3:uid="{C85697CD-6A76-EB47-A95B-AE2F7873920E}" name="Input 6" dataDxfId="63"/>
    <tableColumn id="9" xr3:uid="{818CDA49-0E39-2946-8757-A9D15E8D4A6E}" name="Input 7" dataDxfId="62"/>
    <tableColumn id="10" xr3:uid="{3F0DAC1D-EB2F-FC4C-AEEC-B9F4795484F8}" name="Input 8" dataDxfId="61"/>
    <tableColumn id="11" xr3:uid="{34AA4A8F-2A21-874E-9EAF-8ECBDCA330CB}" name="Input 9" dataDxfId="6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D9459C-59A6-BF4A-A7B6-FBED165ADCA1}" name="Table32" displayName="Table32" ref="A1:K200" totalsRowShown="0" headerRowDxfId="59" dataDxfId="58" tableBorderDxfId="57">
  <autoFilter ref="A1:K200" xr:uid="{E9D8E600-FE9F-5C45-8634-0D6DD0E667E3}"/>
  <tableColumns count="11">
    <tableColumn id="1" xr3:uid="{05E785CD-BA1A-0741-A8C1-F103F004A333}" name="Requirement #" dataDxfId="56"/>
    <tableColumn id="2" xr3:uid="{65ED0781-559E-BB4A-95BC-C03BEB6F0FD3}" name="Requirement Type" dataDxfId="55"/>
    <tableColumn id="3" xr3:uid="{A5BC6781-8D14-CA4A-8CC8-894BC40040CF}" name="Input 1" dataDxfId="54"/>
    <tableColumn id="4" xr3:uid="{426A3784-CB12-634C-B28C-1912BBEDA639}" name="Input 2" dataDxfId="53"/>
    <tableColumn id="5" xr3:uid="{6CB1F183-1B01-524E-A8C5-EFDF25C9EC6E}" name="Input 3" dataDxfId="52"/>
    <tableColumn id="6" xr3:uid="{018A88FF-960F-EE4D-AA98-1781DA96E06D}" name="Input 4" dataDxfId="51"/>
    <tableColumn id="7" xr3:uid="{DA0F16CA-219B-2C46-8309-C7D52FE83C6B}" name="Input 5" dataDxfId="50"/>
    <tableColumn id="8" xr3:uid="{9E89BB34-08B2-3641-902A-0475DC098911}" name="Input 6" dataDxfId="49"/>
    <tableColumn id="9" xr3:uid="{BC7719A6-3F10-F04A-ADE2-39707C03237F}" name="Input 7" dataDxfId="48"/>
    <tableColumn id="10" xr3:uid="{B83931B8-07AE-B044-9121-BD48FE4CFC72}" name="Input 8" dataDxfId="47"/>
    <tableColumn id="11" xr3:uid="{A1FD63F7-D5E1-E742-9C9A-DB3936B5DD1F}" name="Input 9" dataDxfId="46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925791-6FE9-D24F-854A-AA3A87983F7A}" name="Table323" displayName="Table323" ref="A1:K200" totalsRowShown="0" headerRowDxfId="45" dataDxfId="44" tableBorderDxfId="43">
  <autoFilter ref="A1:K200" xr:uid="{E9D8E600-FE9F-5C45-8634-0D6DD0E667E3}"/>
  <tableColumns count="11">
    <tableColumn id="1" xr3:uid="{79B11DD2-72B5-A244-9BA2-010F65DA0C71}" name="Requirement #" dataDxfId="42"/>
    <tableColumn id="2" xr3:uid="{A92F991A-F478-DF49-9573-45217E106A85}" name="Requirement Type" dataDxfId="41"/>
    <tableColumn id="3" xr3:uid="{426F7ACD-E846-6B45-8580-16C9BC5B34B5}" name="Input 1" dataDxfId="40"/>
    <tableColumn id="4" xr3:uid="{D8AF62F2-8523-1145-A81E-A1364337806B}" name="Input 2" dataDxfId="39"/>
    <tableColumn id="5" xr3:uid="{84BDE2D1-2330-CF41-AEE0-9F5842569747}" name="Input 3" dataDxfId="38"/>
    <tableColumn id="6" xr3:uid="{FE5DDCDE-FABD-E946-863B-C6BB28097755}" name="Input 4" dataDxfId="37"/>
    <tableColumn id="7" xr3:uid="{18A756AC-E9D0-6E49-A4DE-24B7F35F91C5}" name="Input 5" dataDxfId="36"/>
    <tableColumn id="8" xr3:uid="{21B200F8-22B2-0648-80FC-4820DECF0D5B}" name="Input 6" dataDxfId="35"/>
    <tableColumn id="9" xr3:uid="{CB23FB5A-7884-AD4D-B71C-6E6EDDBF2886}" name="Input 7" dataDxfId="34"/>
    <tableColumn id="10" xr3:uid="{40228DA8-61D6-1647-A4A3-EDA3C2FFFECB}" name="Input 8" dataDxfId="33"/>
    <tableColumn id="11" xr3:uid="{F6825A5F-3D00-6E44-B99F-13492A664278}" name="Input 9" dataDxfId="32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78BEFF-89A3-F74D-8EB9-3ED264AED86C}" name="Table325" displayName="Table325" ref="A1:K200" totalsRowShown="0" headerRowDxfId="87" dataDxfId="86" tableBorderDxfId="85">
  <autoFilter ref="A1:K200" xr:uid="{E9D8E600-FE9F-5C45-8634-0D6DD0E667E3}"/>
  <tableColumns count="11">
    <tableColumn id="1" xr3:uid="{8E8452FB-D4CF-024D-BED9-0263227800CC}" name="Requirement #" dataDxfId="84"/>
    <tableColumn id="2" xr3:uid="{09D97C96-66EE-464A-9495-9BC41CC97CDD}" name="Requirement Type" dataDxfId="83"/>
    <tableColumn id="3" xr3:uid="{C5833324-76B6-ED46-ABE8-8C26CB8A929F}" name="Input 1" dataDxfId="82"/>
    <tableColumn id="4" xr3:uid="{516580E8-43B2-A94E-BF87-D7CABADDFD20}" name="Input 2" dataDxfId="81"/>
    <tableColumn id="5" xr3:uid="{D7E38409-68A4-2348-A254-F99A28B3D6AA}" name="Input 3" dataDxfId="80"/>
    <tableColumn id="6" xr3:uid="{0DA05089-DF15-DA46-B1A0-0DE642F3AB90}" name="Input 4" dataDxfId="79"/>
    <tableColumn id="7" xr3:uid="{2CCEF327-B870-1046-92B1-14A71A3CA901}" name="Input 5" dataDxfId="78"/>
    <tableColumn id="8" xr3:uid="{C8111718-8D74-F54C-A527-0FADE5F57B9B}" name="Input 6" dataDxfId="77"/>
    <tableColumn id="9" xr3:uid="{33F897C6-7671-8849-BBAE-D1E7CF3CB1B0}" name="Input 7" dataDxfId="76"/>
    <tableColumn id="10" xr3:uid="{91964FF9-90FD-8646-9211-E7DF64E561A3}" name="Input 8" dataDxfId="75"/>
    <tableColumn id="11" xr3:uid="{C84CDF7D-F0F0-D348-8A57-B96AD3A17DB7}" name="Input 9" dataDxfId="74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9A665F-EC06-4D8E-A24B-241E223FCEC2}" name="Table326" displayName="Table326" ref="A1:K200" totalsRowShown="0" headerRowDxfId="13" dataDxfId="12" tableBorderDxfId="11">
  <autoFilter ref="A1:K200" xr:uid="{E9D8E600-FE9F-5C45-8634-0D6DD0E667E3}"/>
  <tableColumns count="11">
    <tableColumn id="1" xr3:uid="{3FE77A89-778A-4693-873D-CBE8BB2C8B48}" name="Requirement #" dataDxfId="10"/>
    <tableColumn id="2" xr3:uid="{C1370714-7E73-4F82-948B-BEC9AC9CFCF1}" name="Requirement Type" dataDxfId="9"/>
    <tableColumn id="3" xr3:uid="{717E1E29-BAB4-4927-89CD-44BA753B4BB9}" name="Input 1" dataDxfId="8"/>
    <tableColumn id="4" xr3:uid="{EBF29182-2F80-4D7F-AC27-C76F9035A003}" name="Input 2" dataDxfId="7"/>
    <tableColumn id="5" xr3:uid="{F293B3C1-B57A-41DD-A8C4-51D6A586760D}" name="Input 3" dataDxfId="6"/>
    <tableColumn id="6" xr3:uid="{4A2C74D8-5442-4044-9F99-594CDD13FFC2}" name="Input 4" dataDxfId="5"/>
    <tableColumn id="7" xr3:uid="{379DDB26-8FE7-4F56-8246-9EDD5B6371F2}" name="Input 5" dataDxfId="4"/>
    <tableColumn id="8" xr3:uid="{E37D4B65-58AC-4CE7-85A9-ABA29E05230B}" name="Input 6" dataDxfId="3"/>
    <tableColumn id="9" xr3:uid="{9937C1D5-F3D5-49B1-8DCD-AF67319E349F}" name="Input 7" dataDxfId="2"/>
    <tableColumn id="10" xr3:uid="{55D01357-D168-450C-9B95-126B7F97FA78}" name="Input 8" dataDxfId="1"/>
    <tableColumn id="11" xr3:uid="{FB225565-7DB8-4FDB-9BDD-C397713D7ECA}" name="Input 9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J22"/>
  <sheetViews>
    <sheetView zoomScale="113" workbookViewId="0">
      <selection activeCell="C20" sqref="C20"/>
    </sheetView>
  </sheetViews>
  <sheetFormatPr defaultColWidth="10.8125" defaultRowHeight="15"/>
  <cols>
    <col min="1" max="4" width="20.8125" style="2" customWidth="1"/>
    <col min="5" max="6" width="13.5" style="2" bestFit="1" customWidth="1"/>
    <col min="7" max="7" width="20.8125" style="2" customWidth="1"/>
    <col min="8" max="8" width="21.1875" style="2" bestFit="1" customWidth="1"/>
    <col min="9" max="9" width="20.6875" style="2" bestFit="1" customWidth="1"/>
    <col min="10" max="16384" width="10.8125" style="2"/>
  </cols>
  <sheetData>
    <row r="1" spans="1:10">
      <c r="A1" s="22" t="s">
        <v>12</v>
      </c>
      <c r="B1" s="23" t="s">
        <v>13</v>
      </c>
      <c r="C1" s="23" t="s">
        <v>1</v>
      </c>
      <c r="D1" s="23" t="s">
        <v>14</v>
      </c>
      <c r="E1" s="23" t="s">
        <v>15</v>
      </c>
      <c r="F1" s="23" t="s">
        <v>0</v>
      </c>
      <c r="G1" s="23" t="s">
        <v>16</v>
      </c>
      <c r="H1" s="23" t="s">
        <v>17</v>
      </c>
      <c r="I1" s="23" t="s">
        <v>19</v>
      </c>
      <c r="J1" s="24"/>
    </row>
    <row r="2" spans="1:10">
      <c r="A2" s="5"/>
      <c r="B2" s="3"/>
      <c r="C2" s="3"/>
      <c r="D2" s="3"/>
      <c r="E2" s="6"/>
      <c r="F2" s="3"/>
      <c r="G2" s="3"/>
      <c r="H2" s="3"/>
      <c r="I2" s="25"/>
      <c r="J2" s="3"/>
    </row>
    <row r="3" spans="1:10">
      <c r="A3" s="26" t="s">
        <v>36</v>
      </c>
      <c r="B3" s="27" t="s">
        <v>13</v>
      </c>
      <c r="C3" s="27" t="s">
        <v>1</v>
      </c>
      <c r="D3" s="27" t="s">
        <v>15</v>
      </c>
      <c r="E3" s="27" t="s">
        <v>0</v>
      </c>
      <c r="F3" s="27" t="s">
        <v>16</v>
      </c>
      <c r="G3" s="27" t="s">
        <v>37</v>
      </c>
      <c r="H3" s="27" t="s">
        <v>19</v>
      </c>
      <c r="I3" s="27"/>
      <c r="J3" s="24"/>
    </row>
    <row r="4" spans="1:10">
      <c r="A4" s="5"/>
      <c r="B4" s="3"/>
      <c r="C4" s="3"/>
      <c r="D4" s="3"/>
      <c r="E4" s="6"/>
      <c r="F4" s="3"/>
      <c r="G4" s="3"/>
      <c r="H4" s="3"/>
      <c r="I4" s="25"/>
      <c r="J4" s="3"/>
    </row>
    <row r="5" spans="1:10">
      <c r="A5" s="26" t="s">
        <v>22</v>
      </c>
      <c r="B5" s="27" t="s">
        <v>1</v>
      </c>
      <c r="C5" s="27" t="s">
        <v>15</v>
      </c>
      <c r="D5" s="27" t="s">
        <v>23</v>
      </c>
      <c r="E5" s="27" t="s">
        <v>19</v>
      </c>
      <c r="F5" s="27"/>
      <c r="G5" s="27"/>
      <c r="H5" s="27"/>
      <c r="I5" s="27"/>
      <c r="J5" s="24"/>
    </row>
    <row r="6" spans="1:10">
      <c r="A6" s="5"/>
      <c r="B6" s="3"/>
      <c r="C6" s="3"/>
      <c r="D6" s="3"/>
      <c r="E6" s="6"/>
      <c r="F6" s="3"/>
      <c r="G6" s="3"/>
      <c r="H6" s="3"/>
      <c r="I6" s="25"/>
      <c r="J6" s="3"/>
    </row>
    <row r="7" spans="1:10" s="30" customFormat="1">
      <c r="A7" s="28" t="s">
        <v>24</v>
      </c>
      <c r="B7" s="29" t="s">
        <v>13</v>
      </c>
      <c r="C7" s="29" t="s">
        <v>1</v>
      </c>
      <c r="D7" s="29" t="s">
        <v>25</v>
      </c>
      <c r="E7" s="29" t="s">
        <v>26</v>
      </c>
      <c r="F7" s="29" t="s">
        <v>14</v>
      </c>
      <c r="G7" s="29" t="s">
        <v>27</v>
      </c>
      <c r="H7" s="29" t="s">
        <v>28</v>
      </c>
      <c r="I7" s="29" t="s">
        <v>29</v>
      </c>
      <c r="J7" s="29" t="s">
        <v>19</v>
      </c>
    </row>
    <row r="8" spans="1:10">
      <c r="A8" s="5"/>
      <c r="B8" s="3"/>
      <c r="C8" s="3"/>
      <c r="D8" s="3"/>
      <c r="E8" s="3"/>
      <c r="F8" s="3"/>
      <c r="G8" s="3"/>
      <c r="H8" s="3"/>
      <c r="I8" s="3"/>
      <c r="J8" s="3"/>
    </row>
    <row r="9" spans="1:10" s="30" customFormat="1">
      <c r="A9" s="28" t="s">
        <v>30</v>
      </c>
      <c r="B9" s="29" t="s">
        <v>13</v>
      </c>
      <c r="C9" s="29" t="s">
        <v>1</v>
      </c>
      <c r="D9" s="29" t="s">
        <v>25</v>
      </c>
      <c r="E9" s="29" t="s">
        <v>26</v>
      </c>
      <c r="F9" s="29" t="s">
        <v>14</v>
      </c>
      <c r="G9" s="29" t="s">
        <v>27</v>
      </c>
      <c r="H9" s="29" t="s">
        <v>28</v>
      </c>
      <c r="I9" s="29" t="s">
        <v>29</v>
      </c>
      <c r="J9" s="29" t="s">
        <v>19</v>
      </c>
    </row>
    <row r="10" spans="1:10">
      <c r="A10" s="5"/>
      <c r="B10" s="3"/>
      <c r="C10" s="3"/>
      <c r="D10" s="3"/>
      <c r="E10" s="3"/>
      <c r="F10" s="3"/>
      <c r="G10" s="3"/>
      <c r="H10" s="3"/>
      <c r="I10" s="3"/>
      <c r="J10" s="3"/>
    </row>
    <row r="11" spans="1:10" s="30" customFormat="1">
      <c r="A11" s="28" t="s">
        <v>31</v>
      </c>
      <c r="B11" s="29" t="s">
        <v>13</v>
      </c>
      <c r="C11" s="29" t="s">
        <v>1</v>
      </c>
      <c r="D11" s="29" t="s">
        <v>25</v>
      </c>
      <c r="E11" s="29" t="s">
        <v>26</v>
      </c>
      <c r="F11" s="29" t="s">
        <v>14</v>
      </c>
      <c r="G11" s="29" t="s">
        <v>27</v>
      </c>
      <c r="H11" s="29" t="s">
        <v>28</v>
      </c>
      <c r="I11" s="29" t="s">
        <v>29</v>
      </c>
      <c r="J11" s="29" t="s">
        <v>19</v>
      </c>
    </row>
    <row r="12" spans="1:10">
      <c r="A12" s="5"/>
      <c r="B12" s="3"/>
      <c r="C12" s="3"/>
      <c r="D12" s="3"/>
      <c r="E12" s="3"/>
      <c r="F12" s="3"/>
      <c r="G12" s="3"/>
      <c r="H12" s="3"/>
      <c r="I12" s="3"/>
      <c r="J12" s="3"/>
    </row>
    <row r="13" spans="1:10" s="30" customFormat="1">
      <c r="A13" s="28" t="s">
        <v>33</v>
      </c>
      <c r="B13" s="29" t="s">
        <v>13</v>
      </c>
      <c r="C13" s="29" t="s">
        <v>1</v>
      </c>
      <c r="D13" s="29" t="s">
        <v>25</v>
      </c>
      <c r="E13" s="29" t="s">
        <v>26</v>
      </c>
      <c r="F13" s="29" t="s">
        <v>14</v>
      </c>
      <c r="G13" s="29" t="s">
        <v>27</v>
      </c>
      <c r="H13" s="29" t="s">
        <v>28</v>
      </c>
      <c r="I13" s="29" t="s">
        <v>29</v>
      </c>
      <c r="J13" s="29" t="s">
        <v>19</v>
      </c>
    </row>
    <row r="14" spans="1:10">
      <c r="A14" s="5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1" t="s">
        <v>42</v>
      </c>
      <c r="B15" s="1" t="s">
        <v>13</v>
      </c>
      <c r="C15" s="1" t="s">
        <v>43</v>
      </c>
      <c r="D15" s="1" t="s">
        <v>44</v>
      </c>
    </row>
    <row r="16" spans="1:10">
      <c r="A16" s="1"/>
      <c r="B16" s="1"/>
    </row>
    <row r="19" spans="1:2">
      <c r="A19" s="1"/>
      <c r="B19" s="1"/>
    </row>
    <row r="22" spans="1:2">
      <c r="A22" s="1"/>
      <c r="B22" s="1"/>
    </row>
  </sheetData>
  <conditionalFormatting sqref="B5:I6">
    <cfRule type="expression" dxfId="31" priority="1">
      <formula>MOD(ROW(),2)=0</formula>
    </cfRule>
  </conditionalFormatting>
  <conditionalFormatting sqref="B1:J4 B7:J14">
    <cfRule type="expression" dxfId="30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A8B8-8768-2C42-BD50-9EE0E108C400}">
  <dimension ref="A1:K200"/>
  <sheetViews>
    <sheetView topLeftCell="C1" zoomScaleNormal="111" workbookViewId="0">
      <selection activeCell="A2" sqref="A2:K21"/>
    </sheetView>
  </sheetViews>
  <sheetFormatPr defaultColWidth="10.8125" defaultRowHeight="15"/>
  <cols>
    <col min="1" max="1" width="18" style="2" customWidth="1"/>
    <col min="2" max="2" width="21.3125" style="2" customWidth="1"/>
    <col min="3" max="3" width="15.1875" style="2" customWidth="1"/>
    <col min="4" max="4" width="14" style="2" customWidth="1"/>
    <col min="5" max="5" width="17.8125" style="2" customWidth="1"/>
    <col min="6" max="6" width="10.8125" style="2"/>
    <col min="7" max="7" width="14.8125" style="2" customWidth="1"/>
    <col min="8" max="8" width="21.3125" style="2" customWidth="1"/>
    <col min="9" max="9" width="19.3125" style="2" customWidth="1"/>
    <col min="10" max="10" width="40.5" style="2" customWidth="1"/>
    <col min="11" max="11" width="27.5" style="2" customWidth="1"/>
    <col min="12" max="16384" width="10.8125" style="2"/>
  </cols>
  <sheetData>
    <row r="1" spans="1:11" ht="15.4" thickBot="1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32</v>
      </c>
    </row>
    <row r="2" spans="1:11">
      <c r="A2" s="7">
        <v>1</v>
      </c>
      <c r="B2" s="8" t="s">
        <v>12</v>
      </c>
      <c r="C2" s="8" t="s">
        <v>13</v>
      </c>
      <c r="D2" s="8" t="s">
        <v>1</v>
      </c>
      <c r="E2" s="8" t="s">
        <v>14</v>
      </c>
      <c r="F2" s="8" t="s">
        <v>15</v>
      </c>
      <c r="G2" s="8" t="s">
        <v>0</v>
      </c>
      <c r="H2" s="8" t="s">
        <v>16</v>
      </c>
      <c r="I2" s="8" t="s">
        <v>17</v>
      </c>
      <c r="J2" s="3" t="s">
        <v>19</v>
      </c>
      <c r="K2" s="16"/>
    </row>
    <row r="3" spans="1:11">
      <c r="A3" s="5"/>
      <c r="B3" s="3"/>
      <c r="C3" s="3">
        <v>1</v>
      </c>
      <c r="D3" s="3">
        <v>0</v>
      </c>
      <c r="E3" s="6" t="s">
        <v>18</v>
      </c>
      <c r="F3" s="3">
        <v>1.2</v>
      </c>
      <c r="G3" s="3">
        <v>0.02</v>
      </c>
      <c r="H3" s="3">
        <v>3.5000000000000003E-2</v>
      </c>
      <c r="I3" s="14">
        <v>3500</v>
      </c>
      <c r="J3" s="3" t="s">
        <v>20</v>
      </c>
      <c r="K3" s="17"/>
    </row>
    <row r="4" spans="1:11">
      <c r="A4" s="5">
        <v>2</v>
      </c>
      <c r="B4" s="1" t="s">
        <v>12</v>
      </c>
      <c r="C4" s="1" t="s">
        <v>13</v>
      </c>
      <c r="D4" s="1" t="s">
        <v>1</v>
      </c>
      <c r="E4" s="1" t="s">
        <v>14</v>
      </c>
      <c r="F4" s="1" t="s">
        <v>15</v>
      </c>
      <c r="G4" s="1" t="s">
        <v>0</v>
      </c>
      <c r="H4" s="1" t="s">
        <v>16</v>
      </c>
      <c r="I4" s="1" t="s">
        <v>17</v>
      </c>
      <c r="J4" s="3" t="s">
        <v>19</v>
      </c>
      <c r="K4" s="17"/>
    </row>
    <row r="5" spans="1:11">
      <c r="A5" s="5"/>
      <c r="B5" s="3"/>
      <c r="C5" s="3">
        <v>1</v>
      </c>
      <c r="D5" s="3">
        <v>0</v>
      </c>
      <c r="E5" s="6" t="s">
        <v>18</v>
      </c>
      <c r="F5" s="3">
        <v>1.2</v>
      </c>
      <c r="G5" s="3">
        <v>0.02</v>
      </c>
      <c r="H5" s="3">
        <v>3.5000000000000003E-2</v>
      </c>
      <c r="I5" s="14">
        <v>4000</v>
      </c>
      <c r="J5" s="3" t="s">
        <v>21</v>
      </c>
      <c r="K5" s="17"/>
    </row>
    <row r="6" spans="1:11">
      <c r="A6" s="5">
        <v>3</v>
      </c>
      <c r="B6" s="1" t="s">
        <v>36</v>
      </c>
      <c r="C6" s="1" t="s">
        <v>13</v>
      </c>
      <c r="D6" s="1" t="s">
        <v>1</v>
      </c>
      <c r="E6" s="1" t="s">
        <v>15</v>
      </c>
      <c r="F6" s="1" t="s">
        <v>0</v>
      </c>
      <c r="G6" s="1" t="s">
        <v>16</v>
      </c>
      <c r="H6" s="1" t="s">
        <v>37</v>
      </c>
      <c r="I6" s="1" t="s">
        <v>19</v>
      </c>
      <c r="J6" s="3"/>
      <c r="K6" s="3"/>
    </row>
    <row r="7" spans="1:11">
      <c r="A7" s="5"/>
      <c r="B7" s="3"/>
      <c r="C7" s="3">
        <v>1</v>
      </c>
      <c r="D7" s="3">
        <v>0</v>
      </c>
      <c r="E7" s="6">
        <v>0.4</v>
      </c>
      <c r="F7" s="3">
        <v>1.2</v>
      </c>
      <c r="G7" s="3">
        <v>0.05</v>
      </c>
      <c r="H7" s="3">
        <v>4500</v>
      </c>
      <c r="I7" s="14" t="s">
        <v>39</v>
      </c>
      <c r="J7" s="3"/>
      <c r="K7" s="3"/>
    </row>
    <row r="8" spans="1:11">
      <c r="A8" s="5">
        <v>4</v>
      </c>
      <c r="B8" s="3" t="s">
        <v>22</v>
      </c>
      <c r="C8" s="3" t="s">
        <v>1</v>
      </c>
      <c r="D8" s="3" t="s">
        <v>15</v>
      </c>
      <c r="E8" s="3" t="s">
        <v>23</v>
      </c>
      <c r="F8" s="3" t="s">
        <v>19</v>
      </c>
      <c r="G8" s="3"/>
      <c r="H8" s="3"/>
      <c r="I8" s="3"/>
      <c r="J8" s="3"/>
      <c r="K8" s="3"/>
    </row>
    <row r="9" spans="1:11">
      <c r="A9" s="5"/>
      <c r="B9" s="3"/>
      <c r="C9" s="3">
        <v>5000</v>
      </c>
      <c r="D9" s="3">
        <v>1.5</v>
      </c>
      <c r="E9" s="3">
        <v>160</v>
      </c>
      <c r="F9" s="3" t="s">
        <v>22</v>
      </c>
      <c r="G9" s="3"/>
      <c r="H9" s="3"/>
      <c r="I9" s="3"/>
      <c r="J9" s="3"/>
      <c r="K9" s="3"/>
    </row>
    <row r="10" spans="1:11">
      <c r="A10" s="5">
        <v>5</v>
      </c>
      <c r="B10" s="3" t="s">
        <v>24</v>
      </c>
      <c r="C10" s="3" t="s">
        <v>13</v>
      </c>
      <c r="D10" s="3" t="s">
        <v>1</v>
      </c>
      <c r="E10" s="3" t="s">
        <v>25</v>
      </c>
      <c r="F10" s="3" t="s">
        <v>26</v>
      </c>
      <c r="G10" s="3" t="s">
        <v>14</v>
      </c>
      <c r="H10" s="3" t="s">
        <v>27</v>
      </c>
      <c r="I10" s="3" t="s">
        <v>28</v>
      </c>
      <c r="J10" s="3" t="s">
        <v>29</v>
      </c>
      <c r="K10" s="3" t="s">
        <v>19</v>
      </c>
    </row>
    <row r="11" spans="1:11">
      <c r="A11" s="5"/>
      <c r="B11" s="3"/>
      <c r="C11" s="3">
        <v>0.85199999999999998</v>
      </c>
      <c r="D11" s="3">
        <v>40000</v>
      </c>
      <c r="E11" s="3">
        <v>0.8</v>
      </c>
      <c r="F11" s="3">
        <v>1</v>
      </c>
      <c r="G11" s="3" t="s">
        <v>34</v>
      </c>
      <c r="H11" s="3">
        <v>0</v>
      </c>
      <c r="I11" s="3">
        <v>0</v>
      </c>
      <c r="J11" s="3">
        <v>0</v>
      </c>
      <c r="K11" s="3" t="s">
        <v>24</v>
      </c>
    </row>
    <row r="12" spans="1:11">
      <c r="A12" s="5">
        <v>6</v>
      </c>
      <c r="B12" s="3" t="s">
        <v>30</v>
      </c>
      <c r="C12" s="3" t="s">
        <v>13</v>
      </c>
      <c r="D12" s="3" t="s">
        <v>1</v>
      </c>
      <c r="E12" s="3" t="s">
        <v>25</v>
      </c>
      <c r="F12" s="3" t="s">
        <v>26</v>
      </c>
      <c r="G12" s="3" t="s">
        <v>14</v>
      </c>
      <c r="H12" s="3" t="s">
        <v>27</v>
      </c>
      <c r="I12" s="3" t="s">
        <v>28</v>
      </c>
      <c r="J12" s="3" t="s">
        <v>29</v>
      </c>
      <c r="K12" s="3" t="s">
        <v>19</v>
      </c>
    </row>
    <row r="13" spans="1:11">
      <c r="A13" s="5"/>
      <c r="B13" s="3"/>
      <c r="C13" s="3">
        <v>0.85199999999999998</v>
      </c>
      <c r="D13" s="3">
        <v>35000</v>
      </c>
      <c r="E13" s="3">
        <v>0.8</v>
      </c>
      <c r="F13" s="3">
        <v>1</v>
      </c>
      <c r="G13" s="3" t="s">
        <v>18</v>
      </c>
      <c r="H13" s="3">
        <v>1.67</v>
      </c>
      <c r="I13" s="3">
        <v>0</v>
      </c>
      <c r="J13" s="3">
        <v>0</v>
      </c>
      <c r="K13" s="3" t="s">
        <v>30</v>
      </c>
    </row>
    <row r="14" spans="1:11">
      <c r="A14" s="5">
        <v>7</v>
      </c>
      <c r="B14" s="3" t="s">
        <v>31</v>
      </c>
      <c r="C14" s="3" t="s">
        <v>13</v>
      </c>
      <c r="D14" s="3" t="s">
        <v>1</v>
      </c>
      <c r="E14" s="3" t="s">
        <v>25</v>
      </c>
      <c r="F14" s="3" t="s">
        <v>26</v>
      </c>
      <c r="G14" s="3" t="s">
        <v>14</v>
      </c>
      <c r="H14" s="3" t="s">
        <v>27</v>
      </c>
      <c r="I14" s="3" t="s">
        <v>28</v>
      </c>
      <c r="J14" s="3" t="s">
        <v>29</v>
      </c>
      <c r="K14" s="3" t="s">
        <v>19</v>
      </c>
    </row>
    <row r="15" spans="1:11">
      <c r="A15" s="5"/>
      <c r="B15" s="3"/>
      <c r="C15" s="3">
        <v>0.85199999999999998</v>
      </c>
      <c r="D15" s="3">
        <v>20000</v>
      </c>
      <c r="E15" s="3">
        <v>0.9</v>
      </c>
      <c r="F15" s="3">
        <v>5</v>
      </c>
      <c r="G15" s="3" t="s">
        <v>34</v>
      </c>
      <c r="H15" s="3">
        <v>0</v>
      </c>
      <c r="I15" s="3">
        <v>0</v>
      </c>
      <c r="J15" s="3">
        <v>0</v>
      </c>
      <c r="K15" s="3" t="s">
        <v>31</v>
      </c>
    </row>
    <row r="16" spans="1:11">
      <c r="A16" s="5">
        <v>8</v>
      </c>
      <c r="B16" s="10" t="s">
        <v>33</v>
      </c>
      <c r="C16" s="10" t="s">
        <v>13</v>
      </c>
      <c r="D16" s="3" t="s">
        <v>1</v>
      </c>
      <c r="E16" s="10" t="s">
        <v>25</v>
      </c>
      <c r="F16" s="10" t="s">
        <v>26</v>
      </c>
      <c r="G16" s="10" t="s">
        <v>14</v>
      </c>
      <c r="H16" s="10" t="s">
        <v>27</v>
      </c>
      <c r="I16" s="10" t="s">
        <v>28</v>
      </c>
      <c r="J16" s="20" t="s">
        <v>29</v>
      </c>
      <c r="K16" s="11" t="s">
        <v>19</v>
      </c>
    </row>
    <row r="17" spans="1:11">
      <c r="A17" s="5"/>
      <c r="B17" s="3"/>
      <c r="C17" s="3">
        <v>0.85199999999999998</v>
      </c>
      <c r="D17" s="3">
        <v>20000</v>
      </c>
      <c r="E17" s="3">
        <v>1</v>
      </c>
      <c r="F17" s="3">
        <v>1</v>
      </c>
      <c r="G17" s="3" t="s">
        <v>34</v>
      </c>
      <c r="H17" s="3">
        <v>0</v>
      </c>
      <c r="I17" s="14">
        <v>0</v>
      </c>
      <c r="J17" s="3">
        <v>0</v>
      </c>
      <c r="K17" s="17" t="s">
        <v>33</v>
      </c>
    </row>
    <row r="18" spans="1:11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5.4" thickBot="1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phoneticPr fontId="3" type="noConversion"/>
  <conditionalFormatting sqref="A1:B1 D1:XFD1 B2:XFD5 L6:XFD17 B8:K15 F17:K17 B18:XFD21 A22:XFD1048576">
    <cfRule type="expression" dxfId="29" priority="3">
      <formula>MOD(ROW(),2)=0</formula>
    </cfRule>
  </conditionalFormatting>
  <conditionalFormatting sqref="B6:I7">
    <cfRule type="expression" dxfId="28" priority="2">
      <formula>MOD(ROW(),2)=0</formula>
    </cfRule>
  </conditionalFormatting>
  <conditionalFormatting sqref="D16">
    <cfRule type="expression" dxfId="27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E99C-C8B6-6643-837C-0DA39C79301D}">
  <dimension ref="A1:K200"/>
  <sheetViews>
    <sheetView zoomScale="85" zoomScaleNormal="111" workbookViewId="0">
      <selection activeCell="J17" sqref="J17"/>
    </sheetView>
  </sheetViews>
  <sheetFormatPr defaultColWidth="10.8125" defaultRowHeight="15"/>
  <cols>
    <col min="1" max="1" width="18" style="2" customWidth="1"/>
    <col min="2" max="2" width="21.3125" style="2" customWidth="1"/>
    <col min="3" max="3" width="15.1875" style="2" customWidth="1"/>
    <col min="4" max="4" width="14" style="2" customWidth="1"/>
    <col min="5" max="5" width="17.8125" style="2" customWidth="1"/>
    <col min="6" max="6" width="12.3125" style="2" customWidth="1"/>
    <col min="7" max="7" width="14.8125" style="2" customWidth="1"/>
    <col min="8" max="8" width="21.3125" style="2" customWidth="1"/>
    <col min="9" max="9" width="19.3125" style="2" customWidth="1"/>
    <col min="10" max="10" width="40.5" style="2" customWidth="1"/>
    <col min="11" max="11" width="27.5" style="2" customWidth="1"/>
    <col min="12" max="16384" width="10.8125" style="2"/>
  </cols>
  <sheetData>
    <row r="1" spans="1:11" ht="15.4" thickBot="1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32</v>
      </c>
    </row>
    <row r="2" spans="1:11">
      <c r="A2" s="7">
        <v>1</v>
      </c>
      <c r="B2" s="8" t="s">
        <v>12</v>
      </c>
      <c r="C2" s="8" t="s">
        <v>13</v>
      </c>
      <c r="D2" s="8" t="s">
        <v>1</v>
      </c>
      <c r="E2" s="8" t="s">
        <v>14</v>
      </c>
      <c r="F2" s="8" t="s">
        <v>15</v>
      </c>
      <c r="G2" s="8" t="s">
        <v>0</v>
      </c>
      <c r="H2" s="8" t="s">
        <v>16</v>
      </c>
      <c r="I2" s="8" t="s">
        <v>17</v>
      </c>
      <c r="J2" s="3" t="s">
        <v>19</v>
      </c>
      <c r="K2" s="16"/>
    </row>
    <row r="3" spans="1:11">
      <c r="A3" s="5"/>
      <c r="B3" s="3"/>
      <c r="C3" s="3">
        <v>1</v>
      </c>
      <c r="D3" s="3">
        <v>0</v>
      </c>
      <c r="E3" s="6" t="s">
        <v>35</v>
      </c>
      <c r="F3" s="3">
        <v>2</v>
      </c>
      <c r="G3" s="3">
        <v>0.02</v>
      </c>
      <c r="H3" s="3">
        <v>0</v>
      </c>
      <c r="I3" s="14">
        <v>2000</v>
      </c>
      <c r="J3" s="3" t="s">
        <v>41</v>
      </c>
      <c r="K3" s="17"/>
    </row>
    <row r="4" spans="1:11">
      <c r="A4" s="5">
        <v>2</v>
      </c>
      <c r="B4" s="21" t="s">
        <v>36</v>
      </c>
      <c r="C4" s="21" t="s">
        <v>13</v>
      </c>
      <c r="D4" s="21" t="s">
        <v>1</v>
      </c>
      <c r="E4" s="21" t="s">
        <v>15</v>
      </c>
      <c r="F4" s="21" t="s">
        <v>0</v>
      </c>
      <c r="G4" s="21" t="s">
        <v>16</v>
      </c>
      <c r="H4" s="21" t="s">
        <v>37</v>
      </c>
      <c r="I4" s="21" t="s">
        <v>19</v>
      </c>
      <c r="J4" s="3"/>
      <c r="K4" s="17"/>
    </row>
    <row r="5" spans="1:11">
      <c r="A5" s="5"/>
      <c r="B5" s="3"/>
      <c r="C5" s="3">
        <v>1</v>
      </c>
      <c r="D5" s="3">
        <v>0</v>
      </c>
      <c r="E5" s="3">
        <v>2.2000000000000002</v>
      </c>
      <c r="F5" s="3">
        <v>0.2</v>
      </c>
      <c r="G5" s="3">
        <v>0</v>
      </c>
      <c r="H5" s="3">
        <v>1000</v>
      </c>
      <c r="I5" s="3" t="s">
        <v>40</v>
      </c>
      <c r="J5" s="3"/>
      <c r="K5" s="17"/>
    </row>
    <row r="6" spans="1:11">
      <c r="A6" s="5">
        <v>3</v>
      </c>
      <c r="B6" s="1" t="s">
        <v>22</v>
      </c>
      <c r="C6" s="1" t="s">
        <v>1</v>
      </c>
      <c r="D6" s="1" t="s">
        <v>15</v>
      </c>
      <c r="E6" s="1" t="s">
        <v>23</v>
      </c>
      <c r="F6" s="3" t="s">
        <v>19</v>
      </c>
      <c r="G6" s="3"/>
      <c r="H6" s="3"/>
      <c r="I6" s="14"/>
      <c r="J6" s="3"/>
      <c r="K6" s="17"/>
    </row>
    <row r="7" spans="1:11" ht="15.4" thickBot="1">
      <c r="A7" s="5"/>
      <c r="B7" s="3"/>
      <c r="C7" s="3">
        <v>0</v>
      </c>
      <c r="D7" s="3">
        <v>2</v>
      </c>
      <c r="E7" s="3">
        <v>55</v>
      </c>
      <c r="F7" s="3" t="s">
        <v>22</v>
      </c>
      <c r="G7" s="3"/>
      <c r="H7" s="3"/>
      <c r="I7" s="14"/>
      <c r="J7" s="3"/>
      <c r="K7" s="17"/>
    </row>
    <row r="8" spans="1:11">
      <c r="A8" s="5">
        <v>4</v>
      </c>
      <c r="B8" s="1" t="s">
        <v>24</v>
      </c>
      <c r="C8" s="1" t="s">
        <v>13</v>
      </c>
      <c r="D8" s="8" t="s">
        <v>1</v>
      </c>
      <c r="E8" s="1" t="s">
        <v>25</v>
      </c>
      <c r="F8" s="1" t="s">
        <v>26</v>
      </c>
      <c r="G8" s="1" t="s">
        <v>14</v>
      </c>
      <c r="H8" s="1" t="s">
        <v>27</v>
      </c>
      <c r="I8" s="1" t="s">
        <v>28</v>
      </c>
      <c r="J8" s="19" t="s">
        <v>29</v>
      </c>
      <c r="K8" s="17" t="s">
        <v>19</v>
      </c>
    </row>
    <row r="9" spans="1:11" ht="15.4" thickBot="1">
      <c r="A9" s="5"/>
      <c r="B9" s="3"/>
      <c r="C9" s="3">
        <v>0.85199999999999998</v>
      </c>
      <c r="D9" s="3">
        <v>15000</v>
      </c>
      <c r="E9" s="3">
        <v>0.18</v>
      </c>
      <c r="F9" s="3">
        <v>1</v>
      </c>
      <c r="G9" s="3" t="s">
        <v>35</v>
      </c>
      <c r="H9" s="3">
        <v>0</v>
      </c>
      <c r="I9" s="14">
        <v>0</v>
      </c>
      <c r="J9" s="3">
        <v>0</v>
      </c>
      <c r="K9" s="17" t="s">
        <v>24</v>
      </c>
    </row>
    <row r="10" spans="1:11">
      <c r="A10" s="5">
        <v>5</v>
      </c>
      <c r="B10" s="1" t="s">
        <v>30</v>
      </c>
      <c r="C10" s="1" t="s">
        <v>13</v>
      </c>
      <c r="D10" s="8" t="s">
        <v>1</v>
      </c>
      <c r="E10" s="1" t="s">
        <v>25</v>
      </c>
      <c r="F10" s="1" t="s">
        <v>26</v>
      </c>
      <c r="G10" s="1" t="s">
        <v>14</v>
      </c>
      <c r="H10" s="1" t="s">
        <v>27</v>
      </c>
      <c r="I10" s="1" t="s">
        <v>28</v>
      </c>
      <c r="J10" s="19" t="s">
        <v>29</v>
      </c>
      <c r="K10" s="9" t="s">
        <v>19</v>
      </c>
    </row>
    <row r="11" spans="1:11" ht="15.4" thickBot="1">
      <c r="A11" s="5"/>
      <c r="B11" s="3"/>
      <c r="C11" s="3">
        <v>0.85199999999999998</v>
      </c>
      <c r="D11" s="3">
        <v>13000</v>
      </c>
      <c r="E11" s="3">
        <v>0.18</v>
      </c>
      <c r="F11" s="3">
        <v>1</v>
      </c>
      <c r="G11" s="3" t="s">
        <v>35</v>
      </c>
      <c r="H11" s="3">
        <v>1.67</v>
      </c>
      <c r="I11" s="14">
        <v>0</v>
      </c>
      <c r="J11" s="3">
        <v>0</v>
      </c>
      <c r="K11" s="17" t="s">
        <v>30</v>
      </c>
    </row>
    <row r="12" spans="1:11">
      <c r="A12" s="5">
        <v>6</v>
      </c>
      <c r="B12" s="1" t="s">
        <v>31</v>
      </c>
      <c r="C12" s="1" t="s">
        <v>13</v>
      </c>
      <c r="D12" s="8" t="s">
        <v>1</v>
      </c>
      <c r="E12" s="1" t="s">
        <v>25</v>
      </c>
      <c r="F12" s="1" t="s">
        <v>26</v>
      </c>
      <c r="G12" s="1" t="s">
        <v>14</v>
      </c>
      <c r="H12" s="1" t="s">
        <v>27</v>
      </c>
      <c r="I12" s="1" t="s">
        <v>28</v>
      </c>
      <c r="J12" s="19" t="s">
        <v>29</v>
      </c>
      <c r="K12" s="9" t="s">
        <v>19</v>
      </c>
    </row>
    <row r="13" spans="1:11" ht="15.4" thickBot="1">
      <c r="A13" s="5"/>
      <c r="B13" s="3"/>
      <c r="C13" s="3">
        <v>0.85199999999999998</v>
      </c>
      <c r="D13" s="3">
        <v>0</v>
      </c>
      <c r="E13" s="3">
        <v>0.18</v>
      </c>
      <c r="F13" s="3">
        <v>1.5</v>
      </c>
      <c r="G13" s="3" t="s">
        <v>35</v>
      </c>
      <c r="H13" s="3">
        <v>0</v>
      </c>
      <c r="I13" s="14">
        <v>0</v>
      </c>
      <c r="J13" s="3">
        <v>0</v>
      </c>
      <c r="K13" s="17" t="s">
        <v>31</v>
      </c>
    </row>
    <row r="14" spans="1:11">
      <c r="A14" s="5">
        <v>7</v>
      </c>
      <c r="B14" s="10" t="s">
        <v>33</v>
      </c>
      <c r="C14" s="10" t="s">
        <v>13</v>
      </c>
      <c r="D14" s="8" t="s">
        <v>1</v>
      </c>
      <c r="E14" s="10" t="s">
        <v>25</v>
      </c>
      <c r="F14" s="10" t="s">
        <v>26</v>
      </c>
      <c r="G14" s="10" t="s">
        <v>14</v>
      </c>
      <c r="H14" s="10" t="s">
        <v>27</v>
      </c>
      <c r="I14" s="10" t="s">
        <v>28</v>
      </c>
      <c r="J14" s="20" t="s">
        <v>29</v>
      </c>
      <c r="K14" s="11" t="s">
        <v>19</v>
      </c>
    </row>
    <row r="15" spans="1:11" ht="15.4" thickBot="1">
      <c r="A15" s="5"/>
      <c r="B15" s="3"/>
      <c r="C15" s="3">
        <v>0.85199999999999998</v>
      </c>
      <c r="D15" s="3">
        <v>10000</v>
      </c>
      <c r="E15" s="3">
        <v>0.2</v>
      </c>
      <c r="F15" s="3">
        <v>1</v>
      </c>
      <c r="G15" s="3" t="s">
        <v>35</v>
      </c>
      <c r="H15" s="3">
        <v>0</v>
      </c>
      <c r="I15" s="14">
        <v>0</v>
      </c>
      <c r="J15" s="3">
        <v>0</v>
      </c>
      <c r="K15" s="17" t="s">
        <v>33</v>
      </c>
    </row>
    <row r="16" spans="1:11">
      <c r="A16" s="5"/>
      <c r="B16" s="3"/>
      <c r="C16" s="3"/>
      <c r="D16" s="8"/>
      <c r="E16" s="3"/>
      <c r="F16" s="3"/>
      <c r="G16" s="3"/>
      <c r="H16" s="3"/>
      <c r="I16" s="14"/>
      <c r="J16" s="3"/>
      <c r="K16" s="17"/>
    </row>
    <row r="17" spans="1:11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5.4" thickBot="1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B2:XFD3 J4:XFD4 K5:XFD5 B6:XFD13 L14:XFD14 F15:XFD21 B16:E21 A22:XFD1048576">
    <cfRule type="expression" dxfId="26" priority="3">
      <formula>MOD(ROW(),2)=0</formula>
    </cfRule>
  </conditionalFormatting>
  <conditionalFormatting sqref="B4:I5">
    <cfRule type="expression" dxfId="25" priority="1">
      <formula>MOD(ROW(),2)=0</formula>
    </cfRule>
  </conditionalFormatting>
  <conditionalFormatting sqref="D14">
    <cfRule type="expression" dxfId="24" priority="2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185F-EB86-B542-8B5B-7CCC7BD8C54D}">
  <dimension ref="A1:K200"/>
  <sheetViews>
    <sheetView zoomScale="106" zoomScaleNormal="111" workbookViewId="0">
      <selection activeCell="E16" sqref="E16"/>
    </sheetView>
  </sheetViews>
  <sheetFormatPr defaultColWidth="10.8125" defaultRowHeight="15"/>
  <cols>
    <col min="1" max="1" width="18" style="2" customWidth="1"/>
    <col min="2" max="2" width="21.3125" style="2" customWidth="1"/>
    <col min="3" max="3" width="15.1875" style="2" customWidth="1"/>
    <col min="4" max="4" width="14" style="2" customWidth="1"/>
    <col min="5" max="5" width="17.8125" style="2" customWidth="1"/>
    <col min="6" max="6" width="12.3125" style="2" customWidth="1"/>
    <col min="7" max="7" width="14.8125" style="2" customWidth="1"/>
    <col min="8" max="8" width="21.3125" style="2" customWidth="1"/>
    <col min="9" max="9" width="19.3125" style="2" customWidth="1"/>
    <col min="10" max="10" width="40.5" style="2" customWidth="1"/>
    <col min="11" max="11" width="27.5" style="2" customWidth="1"/>
    <col min="12" max="16384" width="10.8125" style="2"/>
  </cols>
  <sheetData>
    <row r="1" spans="1:11" ht="15.4" thickBot="1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32</v>
      </c>
    </row>
    <row r="2" spans="1:11">
      <c r="A2" s="7">
        <v>1</v>
      </c>
      <c r="B2" s="8" t="s">
        <v>12</v>
      </c>
      <c r="C2" s="8" t="s">
        <v>13</v>
      </c>
      <c r="D2" s="8" t="s">
        <v>1</v>
      </c>
      <c r="E2" s="8" t="s">
        <v>14</v>
      </c>
      <c r="F2" s="8" t="s">
        <v>15</v>
      </c>
      <c r="G2" s="8" t="s">
        <v>0</v>
      </c>
      <c r="H2" s="8" t="s">
        <v>16</v>
      </c>
      <c r="I2" s="8" t="s">
        <v>17</v>
      </c>
      <c r="J2" s="3" t="s">
        <v>19</v>
      </c>
      <c r="K2" s="16"/>
    </row>
    <row r="3" spans="1:11">
      <c r="A3" s="5"/>
      <c r="B3" s="3"/>
      <c r="C3" s="3">
        <v>1</v>
      </c>
      <c r="D3" s="3">
        <v>0</v>
      </c>
      <c r="E3" s="6" t="s">
        <v>18</v>
      </c>
      <c r="F3" s="3">
        <v>1.8</v>
      </c>
      <c r="G3" s="3">
        <v>0.02</v>
      </c>
      <c r="H3" s="3">
        <v>3.5000000000000003E-2</v>
      </c>
      <c r="I3" s="14">
        <v>10000</v>
      </c>
      <c r="J3" s="3" t="s">
        <v>38</v>
      </c>
      <c r="K3" s="17"/>
    </row>
    <row r="4" spans="1:11">
      <c r="A4" s="5">
        <v>2</v>
      </c>
      <c r="B4" s="1" t="s">
        <v>36</v>
      </c>
      <c r="C4" s="1" t="s">
        <v>13</v>
      </c>
      <c r="D4" s="1" t="s">
        <v>1</v>
      </c>
      <c r="E4" s="1" t="s">
        <v>15</v>
      </c>
      <c r="F4" s="1" t="s">
        <v>0</v>
      </c>
      <c r="G4" s="1" t="s">
        <v>16</v>
      </c>
      <c r="H4" s="1" t="s">
        <v>37</v>
      </c>
      <c r="I4" s="1" t="s">
        <v>19</v>
      </c>
      <c r="J4" s="3"/>
      <c r="K4" s="17"/>
    </row>
    <row r="5" spans="1:11">
      <c r="A5" s="5"/>
      <c r="B5" s="3"/>
      <c r="C5" s="3">
        <v>1</v>
      </c>
      <c r="D5" s="3">
        <v>0</v>
      </c>
      <c r="E5" s="6">
        <v>1.8</v>
      </c>
      <c r="F5" s="3">
        <v>0.5</v>
      </c>
      <c r="G5" s="3">
        <v>3.5000000000000003E-2</v>
      </c>
      <c r="H5" s="3">
        <v>3000</v>
      </c>
      <c r="I5" s="14" t="s">
        <v>39</v>
      </c>
      <c r="J5" s="3"/>
      <c r="K5" s="17"/>
    </row>
    <row r="6" spans="1:11">
      <c r="A6" s="5">
        <v>3</v>
      </c>
      <c r="B6" s="1" t="s">
        <v>22</v>
      </c>
      <c r="C6" s="1" t="s">
        <v>1</v>
      </c>
      <c r="D6" s="1" t="s">
        <v>15</v>
      </c>
      <c r="E6" s="1" t="s">
        <v>23</v>
      </c>
      <c r="F6" s="3" t="s">
        <v>19</v>
      </c>
      <c r="G6" s="3"/>
      <c r="H6" s="3"/>
      <c r="I6" s="14"/>
      <c r="J6" s="3"/>
      <c r="K6" s="17"/>
    </row>
    <row r="7" spans="1:11">
      <c r="A7" s="5"/>
      <c r="B7" s="3"/>
      <c r="C7" s="3">
        <v>5000</v>
      </c>
      <c r="D7" s="3">
        <v>1.8</v>
      </c>
      <c r="E7" s="3">
        <v>160</v>
      </c>
      <c r="F7" s="3" t="s">
        <v>22</v>
      </c>
      <c r="G7" s="3"/>
      <c r="H7" s="3"/>
      <c r="I7" s="14"/>
      <c r="J7" s="3"/>
      <c r="K7" s="17"/>
    </row>
    <row r="8" spans="1:11">
      <c r="A8" s="5">
        <v>4</v>
      </c>
      <c r="B8" s="1" t="s">
        <v>24</v>
      </c>
      <c r="C8" s="1" t="s">
        <v>13</v>
      </c>
      <c r="D8" s="1" t="s">
        <v>1</v>
      </c>
      <c r="E8" s="1" t="s">
        <v>25</v>
      </c>
      <c r="F8" s="1" t="s">
        <v>26</v>
      </c>
      <c r="G8" s="1" t="s">
        <v>14</v>
      </c>
      <c r="H8" s="1" t="s">
        <v>27</v>
      </c>
      <c r="I8" s="1" t="s">
        <v>28</v>
      </c>
      <c r="J8" s="19" t="s">
        <v>29</v>
      </c>
      <c r="K8" s="17" t="s">
        <v>19</v>
      </c>
    </row>
    <row r="9" spans="1:11">
      <c r="A9" s="5"/>
      <c r="B9" s="3"/>
      <c r="C9" s="3">
        <v>0.85199999999999998</v>
      </c>
      <c r="D9" s="3">
        <v>40000</v>
      </c>
      <c r="E9" s="3">
        <v>0.77</v>
      </c>
      <c r="F9" s="3">
        <v>1</v>
      </c>
      <c r="G9" s="3" t="s">
        <v>18</v>
      </c>
      <c r="H9" s="3">
        <v>0</v>
      </c>
      <c r="I9" s="14">
        <v>0</v>
      </c>
      <c r="J9" s="3">
        <v>0</v>
      </c>
      <c r="K9" s="17" t="s">
        <v>24</v>
      </c>
    </row>
    <row r="10" spans="1:11">
      <c r="A10" s="5">
        <v>5</v>
      </c>
      <c r="B10" s="1" t="s">
        <v>30</v>
      </c>
      <c r="C10" s="1" t="s">
        <v>13</v>
      </c>
      <c r="D10" s="1" t="s">
        <v>1</v>
      </c>
      <c r="E10" s="1" t="s">
        <v>25</v>
      </c>
      <c r="F10" s="1" t="s">
        <v>26</v>
      </c>
      <c r="G10" s="1" t="s">
        <v>14</v>
      </c>
      <c r="H10" s="1" t="s">
        <v>27</v>
      </c>
      <c r="I10" s="1" t="s">
        <v>28</v>
      </c>
      <c r="J10" s="19" t="s">
        <v>29</v>
      </c>
      <c r="K10" s="9" t="s">
        <v>19</v>
      </c>
    </row>
    <row r="11" spans="1:11">
      <c r="A11" s="5"/>
      <c r="B11" s="3"/>
      <c r="C11" s="3">
        <v>0.85199999999999998</v>
      </c>
      <c r="D11" s="3">
        <v>38000</v>
      </c>
      <c r="E11" s="3">
        <v>0.77</v>
      </c>
      <c r="F11" s="3">
        <v>1</v>
      </c>
      <c r="G11" s="3" t="s">
        <v>18</v>
      </c>
      <c r="H11" s="3">
        <v>1.67</v>
      </c>
      <c r="I11" s="14">
        <v>0</v>
      </c>
      <c r="J11" s="3">
        <v>0</v>
      </c>
      <c r="K11" s="17" t="s">
        <v>30</v>
      </c>
    </row>
    <row r="12" spans="1:11">
      <c r="A12" s="5">
        <v>6</v>
      </c>
      <c r="B12" s="1" t="s">
        <v>31</v>
      </c>
      <c r="C12" s="1" t="s">
        <v>13</v>
      </c>
      <c r="D12" s="1" t="s">
        <v>1</v>
      </c>
      <c r="E12" s="1" t="s">
        <v>25</v>
      </c>
      <c r="F12" s="1" t="s">
        <v>26</v>
      </c>
      <c r="G12" s="1" t="s">
        <v>14</v>
      </c>
      <c r="H12" s="1" t="s">
        <v>27</v>
      </c>
      <c r="I12" s="1" t="s">
        <v>28</v>
      </c>
      <c r="J12" s="19" t="s">
        <v>29</v>
      </c>
      <c r="K12" s="9" t="s">
        <v>19</v>
      </c>
    </row>
    <row r="13" spans="1:11">
      <c r="A13" s="5"/>
      <c r="B13" s="3"/>
      <c r="C13" s="3">
        <v>0.85199999999999998</v>
      </c>
      <c r="D13" s="3">
        <v>20000</v>
      </c>
      <c r="E13" s="3">
        <v>0.77</v>
      </c>
      <c r="F13" s="3">
        <v>1.5</v>
      </c>
      <c r="G13" s="3" t="s">
        <v>18</v>
      </c>
      <c r="H13" s="3">
        <v>0</v>
      </c>
      <c r="I13" s="14">
        <v>0</v>
      </c>
      <c r="J13" s="3">
        <v>0</v>
      </c>
      <c r="K13" s="17" t="s">
        <v>31</v>
      </c>
    </row>
    <row r="14" spans="1:11">
      <c r="A14" s="5">
        <v>7</v>
      </c>
      <c r="B14" s="10" t="s">
        <v>33</v>
      </c>
      <c r="C14" s="10" t="s">
        <v>13</v>
      </c>
      <c r="D14" s="1" t="s">
        <v>1</v>
      </c>
      <c r="E14" s="10" t="s">
        <v>25</v>
      </c>
      <c r="F14" s="10" t="s">
        <v>26</v>
      </c>
      <c r="G14" s="10" t="s">
        <v>14</v>
      </c>
      <c r="H14" s="10" t="s">
        <v>27</v>
      </c>
      <c r="I14" s="10" t="s">
        <v>28</v>
      </c>
      <c r="J14" s="20" t="s">
        <v>29</v>
      </c>
      <c r="K14" s="11" t="s">
        <v>19</v>
      </c>
    </row>
    <row r="15" spans="1:11">
      <c r="A15" s="5"/>
      <c r="B15" s="3"/>
      <c r="C15" s="3">
        <v>0.85199999999999998</v>
      </c>
      <c r="D15" s="3">
        <v>20000</v>
      </c>
      <c r="E15" s="3">
        <v>0.77</v>
      </c>
      <c r="F15" s="3">
        <v>1</v>
      </c>
      <c r="G15" s="3" t="s">
        <v>18</v>
      </c>
      <c r="H15" s="3">
        <v>0</v>
      </c>
      <c r="I15" s="14">
        <v>0</v>
      </c>
      <c r="J15" s="3">
        <v>0</v>
      </c>
      <c r="K15" s="17" t="s">
        <v>33</v>
      </c>
    </row>
    <row r="16" spans="1:11">
      <c r="A16" s="5"/>
      <c r="B16" s="3"/>
      <c r="C16" s="3"/>
      <c r="D16" s="3"/>
      <c r="E16" s="3"/>
      <c r="F16" s="3"/>
      <c r="G16" s="3"/>
      <c r="H16" s="3"/>
      <c r="I16" s="14"/>
      <c r="J16" s="3"/>
      <c r="K16" s="17"/>
    </row>
    <row r="17" spans="1:11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5.4" thickBot="1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B2:XFD4 C5:XFD5 B6:XFD13 L14:XFD14 F15:XFD21 B16:E21 A22:XFD1048576">
    <cfRule type="expression" dxfId="23" priority="3">
      <formula>MOD(ROW(),2)=0</formula>
    </cfRule>
  </conditionalFormatting>
  <conditionalFormatting sqref="B5">
    <cfRule type="expression" dxfId="22" priority="2">
      <formula>MOD(ROW(),2)=0</formula>
    </cfRule>
  </conditionalFormatting>
  <conditionalFormatting sqref="D14">
    <cfRule type="expression" dxfId="21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AABD-3C43-6F40-828B-6CE36050BFAD}">
  <dimension ref="A1:K200"/>
  <sheetViews>
    <sheetView zoomScale="75" zoomScaleNormal="111" workbookViewId="0">
      <selection activeCell="M46" sqref="M46"/>
    </sheetView>
  </sheetViews>
  <sheetFormatPr defaultColWidth="10.8125" defaultRowHeight="15"/>
  <cols>
    <col min="1" max="1" width="18" style="2" customWidth="1"/>
    <col min="2" max="2" width="21.3125" style="2" customWidth="1"/>
    <col min="3" max="3" width="15.1875" style="2" customWidth="1"/>
    <col min="4" max="4" width="14" style="2" customWidth="1"/>
    <col min="5" max="5" width="17.8125" style="2" customWidth="1"/>
    <col min="6" max="6" width="12.3125" style="2" customWidth="1"/>
    <col min="7" max="7" width="14.8125" style="2" customWidth="1"/>
    <col min="8" max="8" width="21.3125" style="2" customWidth="1"/>
    <col min="9" max="9" width="19.3125" style="2" customWidth="1"/>
    <col min="10" max="10" width="40.5" style="2" customWidth="1"/>
    <col min="11" max="11" width="27.5" style="2" customWidth="1"/>
    <col min="12" max="16384" width="10.8125" style="2"/>
  </cols>
  <sheetData>
    <row r="1" spans="1:11" ht="15.4" thickBot="1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32</v>
      </c>
    </row>
    <row r="2" spans="1:11">
      <c r="A2" s="7">
        <v>1</v>
      </c>
      <c r="B2" s="1" t="s">
        <v>42</v>
      </c>
      <c r="C2" s="1" t="s">
        <v>13</v>
      </c>
      <c r="D2" s="1" t="s">
        <v>43</v>
      </c>
      <c r="E2" s="1" t="s">
        <v>44</v>
      </c>
      <c r="F2" s="8" t="s">
        <v>19</v>
      </c>
      <c r="G2" s="8"/>
      <c r="H2" s="8"/>
      <c r="I2" s="8"/>
      <c r="J2" s="3"/>
      <c r="K2" s="16"/>
    </row>
    <row r="3" spans="1:11">
      <c r="A3" s="5"/>
      <c r="B3" s="3"/>
      <c r="C3" s="3">
        <v>1</v>
      </c>
      <c r="D3" s="3">
        <v>5000</v>
      </c>
      <c r="E3" s="6">
        <v>10</v>
      </c>
      <c r="F3" s="3" t="s">
        <v>45</v>
      </c>
      <c r="G3" s="3"/>
      <c r="H3" s="3"/>
      <c r="I3" s="14"/>
      <c r="J3" s="3"/>
      <c r="K3" s="17"/>
    </row>
    <row r="4" spans="1:11">
      <c r="A4" s="5">
        <v>3</v>
      </c>
      <c r="B4" s="1" t="s">
        <v>22</v>
      </c>
      <c r="C4" s="1" t="s">
        <v>1</v>
      </c>
      <c r="D4" s="1" t="s">
        <v>15</v>
      </c>
      <c r="E4" s="1" t="s">
        <v>23</v>
      </c>
      <c r="F4" s="3" t="s">
        <v>19</v>
      </c>
      <c r="G4" s="3"/>
      <c r="H4" s="3"/>
      <c r="I4" s="14"/>
      <c r="J4" s="3"/>
      <c r="K4" s="17"/>
    </row>
    <row r="5" spans="1:11" ht="15.4" thickBot="1">
      <c r="A5" s="5"/>
      <c r="B5" s="3"/>
      <c r="C5" s="3">
        <v>0</v>
      </c>
      <c r="D5" s="3">
        <v>2</v>
      </c>
      <c r="E5" s="3">
        <v>160</v>
      </c>
      <c r="F5" s="3" t="s">
        <v>22</v>
      </c>
      <c r="G5" s="3"/>
      <c r="H5" s="3"/>
      <c r="I5" s="14"/>
      <c r="J5" s="3"/>
      <c r="K5" s="17"/>
    </row>
    <row r="6" spans="1:11">
      <c r="A6" s="5">
        <v>4</v>
      </c>
      <c r="B6" s="1" t="s">
        <v>24</v>
      </c>
      <c r="C6" s="1" t="s">
        <v>13</v>
      </c>
      <c r="D6" s="8" t="s">
        <v>1</v>
      </c>
      <c r="E6" s="1" t="s">
        <v>25</v>
      </c>
      <c r="F6" s="1" t="s">
        <v>26</v>
      </c>
      <c r="G6" s="1" t="s">
        <v>14</v>
      </c>
      <c r="H6" s="1" t="s">
        <v>27</v>
      </c>
      <c r="I6" s="1" t="s">
        <v>28</v>
      </c>
      <c r="J6" s="19" t="s">
        <v>29</v>
      </c>
      <c r="K6" s="17" t="s">
        <v>19</v>
      </c>
    </row>
    <row r="7" spans="1:11" ht="15.4" thickBot="1">
      <c r="A7" s="5"/>
      <c r="B7" s="3"/>
      <c r="C7" s="3">
        <v>0.85199999999999998</v>
      </c>
      <c r="D7" s="3">
        <v>22500</v>
      </c>
      <c r="E7" s="3">
        <v>0.3</v>
      </c>
      <c r="F7" s="3">
        <v>1</v>
      </c>
      <c r="G7" s="3" t="s">
        <v>18</v>
      </c>
      <c r="H7" s="3">
        <v>0</v>
      </c>
      <c r="I7" s="14">
        <v>0</v>
      </c>
      <c r="J7" s="3">
        <v>0</v>
      </c>
      <c r="K7" s="17" t="s">
        <v>24</v>
      </c>
    </row>
    <row r="8" spans="1:11">
      <c r="A8" s="5">
        <v>5</v>
      </c>
      <c r="B8" s="1" t="s">
        <v>30</v>
      </c>
      <c r="C8" s="1" t="s">
        <v>13</v>
      </c>
      <c r="D8" s="8" t="s">
        <v>1</v>
      </c>
      <c r="E8" s="1" t="s">
        <v>25</v>
      </c>
      <c r="F8" s="1" t="s">
        <v>26</v>
      </c>
      <c r="G8" s="1" t="s">
        <v>14</v>
      </c>
      <c r="H8" s="1" t="s">
        <v>27</v>
      </c>
      <c r="I8" s="1" t="s">
        <v>28</v>
      </c>
      <c r="J8" s="19" t="s">
        <v>29</v>
      </c>
      <c r="K8" s="9" t="s">
        <v>19</v>
      </c>
    </row>
    <row r="9" spans="1:11" ht="15.4" thickBot="1">
      <c r="A9" s="5"/>
      <c r="B9" s="3"/>
      <c r="C9" s="3">
        <v>0.85199999999999998</v>
      </c>
      <c r="D9" s="3">
        <v>20000</v>
      </c>
      <c r="E9" s="3">
        <v>0.3</v>
      </c>
      <c r="F9" s="3">
        <v>1</v>
      </c>
      <c r="G9" s="3" t="s">
        <v>18</v>
      </c>
      <c r="H9" s="3">
        <v>1.67</v>
      </c>
      <c r="I9" s="14">
        <v>0</v>
      </c>
      <c r="J9" s="3">
        <v>0</v>
      </c>
      <c r="K9" s="17" t="s">
        <v>30</v>
      </c>
    </row>
    <row r="10" spans="1:11">
      <c r="A10" s="5">
        <v>6</v>
      </c>
      <c r="B10" s="1" t="s">
        <v>31</v>
      </c>
      <c r="C10" s="1" t="s">
        <v>13</v>
      </c>
      <c r="D10" s="8" t="s">
        <v>1</v>
      </c>
      <c r="E10" s="1" t="s">
        <v>25</v>
      </c>
      <c r="F10" s="1" t="s">
        <v>26</v>
      </c>
      <c r="G10" s="1" t="s">
        <v>14</v>
      </c>
      <c r="H10" s="1" t="s">
        <v>27</v>
      </c>
      <c r="I10" s="1" t="s">
        <v>28</v>
      </c>
      <c r="J10" s="19" t="s">
        <v>29</v>
      </c>
      <c r="K10" s="9" t="s">
        <v>19</v>
      </c>
    </row>
    <row r="11" spans="1:11" ht="15.4" thickBot="1">
      <c r="A11" s="5"/>
      <c r="B11" s="3"/>
      <c r="C11" s="3">
        <v>0.85199999999999998</v>
      </c>
      <c r="D11" s="3">
        <v>5000</v>
      </c>
      <c r="E11" s="3">
        <v>0.3</v>
      </c>
      <c r="F11" s="3">
        <v>1.5</v>
      </c>
      <c r="G11" s="3" t="s">
        <v>18</v>
      </c>
      <c r="H11" s="3">
        <v>0</v>
      </c>
      <c r="I11" s="14">
        <v>0</v>
      </c>
      <c r="J11" s="3">
        <v>0</v>
      </c>
      <c r="K11" s="17" t="s">
        <v>31</v>
      </c>
    </row>
    <row r="12" spans="1:11">
      <c r="A12" s="5">
        <v>7</v>
      </c>
      <c r="B12" s="10" t="s">
        <v>33</v>
      </c>
      <c r="C12" s="10" t="s">
        <v>13</v>
      </c>
      <c r="D12" s="8" t="s">
        <v>1</v>
      </c>
      <c r="E12" s="10" t="s">
        <v>25</v>
      </c>
      <c r="F12" s="10" t="s">
        <v>26</v>
      </c>
      <c r="G12" s="10" t="s">
        <v>14</v>
      </c>
      <c r="H12" s="10" t="s">
        <v>27</v>
      </c>
      <c r="I12" s="10" t="s">
        <v>28</v>
      </c>
      <c r="J12" s="20" t="s">
        <v>29</v>
      </c>
      <c r="K12" s="11" t="s">
        <v>19</v>
      </c>
    </row>
    <row r="13" spans="1:11" ht="15.4" thickBot="1">
      <c r="A13" s="5"/>
      <c r="B13" s="3"/>
      <c r="C13" s="3">
        <v>0.85199999999999998</v>
      </c>
      <c r="D13" s="3">
        <v>15000</v>
      </c>
      <c r="E13" s="3">
        <v>0.4</v>
      </c>
      <c r="F13" s="3">
        <v>1</v>
      </c>
      <c r="G13" s="3" t="s">
        <v>18</v>
      </c>
      <c r="H13" s="3">
        <v>0</v>
      </c>
      <c r="I13" s="14">
        <v>0</v>
      </c>
      <c r="J13" s="3">
        <v>0</v>
      </c>
      <c r="K13" s="17" t="s">
        <v>33</v>
      </c>
    </row>
    <row r="14" spans="1:11">
      <c r="A14" s="5"/>
      <c r="B14" s="10"/>
      <c r="C14" s="10"/>
      <c r="D14" s="8"/>
      <c r="E14" s="10"/>
      <c r="F14" s="10"/>
      <c r="G14" s="10"/>
      <c r="H14" s="10"/>
      <c r="I14" s="10"/>
      <c r="J14" s="20"/>
      <c r="K14" s="11"/>
    </row>
    <row r="15" spans="1:11" ht="15.4" thickBot="1">
      <c r="A15" s="5"/>
      <c r="B15" s="3"/>
      <c r="C15" s="3"/>
      <c r="D15" s="3"/>
      <c r="E15" s="3"/>
      <c r="F15" s="3"/>
      <c r="G15" s="3"/>
      <c r="H15" s="3"/>
      <c r="I15" s="14"/>
      <c r="J15" s="3"/>
      <c r="K15" s="17"/>
    </row>
    <row r="16" spans="1:11">
      <c r="A16" s="5"/>
      <c r="B16" s="3"/>
      <c r="C16" s="3"/>
      <c r="D16" s="8"/>
      <c r="E16" s="3"/>
      <c r="F16" s="3"/>
      <c r="G16" s="3"/>
      <c r="H16" s="3"/>
      <c r="I16" s="14"/>
      <c r="J16" s="3"/>
      <c r="K16" s="17"/>
    </row>
    <row r="17" spans="1:11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5.4" thickBot="1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F2:XFD2 B3:XFD3 J4:XFD4 B4:K11 K5:XFD5 B6:XFD13 L14:XFD14 F15:XFD21 B16:E21 A22:XFD1048576">
    <cfRule type="expression" dxfId="20" priority="4">
      <formula>MOD(ROW(),2)=0</formula>
    </cfRule>
  </conditionalFormatting>
  <conditionalFormatting sqref="B4:I5">
    <cfRule type="expression" dxfId="19" priority="2">
      <formula>MOD(ROW(),2)=0</formula>
    </cfRule>
  </conditionalFormatting>
  <conditionalFormatting sqref="D12">
    <cfRule type="expression" dxfId="18" priority="1">
      <formula>MOD(ROW(),2)=0</formula>
    </cfRule>
  </conditionalFormatting>
  <conditionalFormatting sqref="D14">
    <cfRule type="expression" dxfId="17" priority="3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E723-3142-4D25-A32B-7FFD168EF123}">
  <dimension ref="A1:K200"/>
  <sheetViews>
    <sheetView tabSelected="1" zoomScale="85" zoomScaleNormal="111" workbookViewId="0">
      <selection activeCell="E8" sqref="E8"/>
    </sheetView>
  </sheetViews>
  <sheetFormatPr defaultColWidth="10.8125" defaultRowHeight="15"/>
  <cols>
    <col min="1" max="1" width="18" style="2" customWidth="1"/>
    <col min="2" max="2" width="21.3125" style="2" customWidth="1"/>
    <col min="3" max="3" width="15.1875" style="2" customWidth="1"/>
    <col min="4" max="4" width="14" style="2" customWidth="1"/>
    <col min="5" max="5" width="17.8125" style="2" customWidth="1"/>
    <col min="6" max="6" width="12.3125" style="2" customWidth="1"/>
    <col min="7" max="7" width="14.8125" style="2" customWidth="1"/>
    <col min="8" max="8" width="21.3125" style="2" customWidth="1"/>
    <col min="9" max="9" width="19.3125" style="2" customWidth="1"/>
    <col min="10" max="10" width="40.5" style="2" customWidth="1"/>
    <col min="11" max="11" width="27.5" style="2" customWidth="1"/>
    <col min="12" max="16384" width="10.8125" style="2"/>
  </cols>
  <sheetData>
    <row r="1" spans="1:11" ht="15.4" thickBot="1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32</v>
      </c>
    </row>
    <row r="2" spans="1:11">
      <c r="A2" s="7">
        <v>1</v>
      </c>
      <c r="B2" s="8" t="s">
        <v>12</v>
      </c>
      <c r="C2" s="8" t="s">
        <v>13</v>
      </c>
      <c r="D2" s="8" t="s">
        <v>1</v>
      </c>
      <c r="E2" s="8" t="s">
        <v>14</v>
      </c>
      <c r="F2" s="8" t="s">
        <v>15</v>
      </c>
      <c r="G2" s="8" t="s">
        <v>0</v>
      </c>
      <c r="H2" s="8" t="s">
        <v>16</v>
      </c>
      <c r="I2" s="8" t="s">
        <v>17</v>
      </c>
      <c r="J2" s="3" t="s">
        <v>19</v>
      </c>
      <c r="K2" s="16"/>
    </row>
    <row r="3" spans="1:11">
      <c r="A3" s="5"/>
      <c r="B3" s="3"/>
      <c r="C3" s="3">
        <v>1</v>
      </c>
      <c r="D3" s="3">
        <v>0</v>
      </c>
      <c r="E3" s="6" t="s">
        <v>35</v>
      </c>
      <c r="F3" s="3">
        <v>1.6</v>
      </c>
      <c r="G3" s="3">
        <v>0.25</v>
      </c>
      <c r="H3" s="3">
        <v>0</v>
      </c>
      <c r="I3" s="14">
        <v>2000</v>
      </c>
      <c r="J3" s="3" t="s">
        <v>41</v>
      </c>
      <c r="K3" s="17"/>
    </row>
    <row r="4" spans="1:11">
      <c r="A4" s="5">
        <v>2</v>
      </c>
      <c r="B4" s="21" t="s">
        <v>36</v>
      </c>
      <c r="C4" s="21" t="s">
        <v>13</v>
      </c>
      <c r="D4" s="21" t="s">
        <v>1</v>
      </c>
      <c r="E4" s="21" t="s">
        <v>15</v>
      </c>
      <c r="F4" s="21" t="s">
        <v>0</v>
      </c>
      <c r="G4" s="21" t="s">
        <v>16</v>
      </c>
      <c r="H4" s="21" t="s">
        <v>37</v>
      </c>
      <c r="I4" s="21" t="s">
        <v>19</v>
      </c>
      <c r="J4" s="3"/>
      <c r="K4" s="17"/>
    </row>
    <row r="5" spans="1:11">
      <c r="A5" s="5"/>
      <c r="B5" s="3"/>
      <c r="C5" s="3">
        <v>1</v>
      </c>
      <c r="D5" s="3">
        <v>0</v>
      </c>
      <c r="E5" s="3">
        <v>1.6</v>
      </c>
      <c r="F5" s="3">
        <v>0.25</v>
      </c>
      <c r="G5" s="3">
        <v>0</v>
      </c>
      <c r="H5" s="3">
        <v>2000</v>
      </c>
      <c r="I5" s="3" t="s">
        <v>40</v>
      </c>
      <c r="J5" s="3"/>
      <c r="K5" s="17"/>
    </row>
    <row r="6" spans="1:11">
      <c r="A6" s="5">
        <v>3</v>
      </c>
      <c r="B6" s="1" t="s">
        <v>22</v>
      </c>
      <c r="C6" s="1" t="s">
        <v>1</v>
      </c>
      <c r="D6" s="1" t="s">
        <v>15</v>
      </c>
      <c r="E6" s="1" t="s">
        <v>23</v>
      </c>
      <c r="F6" s="3" t="s">
        <v>19</v>
      </c>
      <c r="G6" s="3"/>
      <c r="H6" s="3"/>
      <c r="I6" s="14"/>
      <c r="J6" s="3"/>
      <c r="K6" s="17"/>
    </row>
    <row r="7" spans="1:11" ht="15.4" thickBot="1">
      <c r="A7" s="5"/>
      <c r="B7" s="3"/>
      <c r="C7" s="3">
        <v>0</v>
      </c>
      <c r="D7" s="3">
        <v>1.6</v>
      </c>
      <c r="E7" s="3">
        <v>55</v>
      </c>
      <c r="F7" s="3" t="s">
        <v>22</v>
      </c>
      <c r="G7" s="3"/>
      <c r="H7" s="3"/>
      <c r="I7" s="14"/>
      <c r="J7" s="3"/>
      <c r="K7" s="17"/>
    </row>
    <row r="8" spans="1:11">
      <c r="A8" s="5">
        <v>4</v>
      </c>
      <c r="B8" s="1" t="s">
        <v>24</v>
      </c>
      <c r="C8" s="1" t="s">
        <v>13</v>
      </c>
      <c r="D8" s="8" t="s">
        <v>1</v>
      </c>
      <c r="E8" s="1" t="s">
        <v>25</v>
      </c>
      <c r="F8" s="1" t="s">
        <v>26</v>
      </c>
      <c r="G8" s="1" t="s">
        <v>14</v>
      </c>
      <c r="H8" s="1" t="s">
        <v>27</v>
      </c>
      <c r="I8" s="1" t="s">
        <v>28</v>
      </c>
      <c r="J8" s="19" t="s">
        <v>29</v>
      </c>
      <c r="K8" s="17" t="s">
        <v>19</v>
      </c>
    </row>
    <row r="9" spans="1:11" ht="15.4" thickBot="1">
      <c r="A9" s="5"/>
      <c r="B9" s="3"/>
      <c r="C9" s="3">
        <v>0.99</v>
      </c>
      <c r="D9" s="3">
        <v>15000</v>
      </c>
      <c r="E9" s="3">
        <v>0.18</v>
      </c>
      <c r="F9" s="3">
        <v>1</v>
      </c>
      <c r="G9" s="3" t="s">
        <v>35</v>
      </c>
      <c r="H9" s="3">
        <v>0</v>
      </c>
      <c r="I9" s="14">
        <v>0</v>
      </c>
      <c r="J9" s="3">
        <v>0</v>
      </c>
      <c r="K9" s="17" t="s">
        <v>24</v>
      </c>
    </row>
    <row r="10" spans="1:11">
      <c r="A10" s="5">
        <v>5</v>
      </c>
      <c r="B10" s="1" t="s">
        <v>30</v>
      </c>
      <c r="C10" s="1" t="s">
        <v>13</v>
      </c>
      <c r="D10" s="8" t="s">
        <v>1</v>
      </c>
      <c r="E10" s="1" t="s">
        <v>25</v>
      </c>
      <c r="F10" s="1" t="s">
        <v>26</v>
      </c>
      <c r="G10" s="1" t="s">
        <v>14</v>
      </c>
      <c r="H10" s="1" t="s">
        <v>27</v>
      </c>
      <c r="I10" s="1" t="s">
        <v>28</v>
      </c>
      <c r="J10" s="19" t="s">
        <v>29</v>
      </c>
      <c r="K10" s="9" t="s">
        <v>19</v>
      </c>
    </row>
    <row r="11" spans="1:11" ht="15.4" thickBot="1">
      <c r="A11" s="5"/>
      <c r="B11" s="3"/>
      <c r="C11" s="3">
        <v>0.99</v>
      </c>
      <c r="D11" s="3">
        <v>13000</v>
      </c>
      <c r="E11" s="3">
        <v>0.18</v>
      </c>
      <c r="F11" s="3">
        <v>1</v>
      </c>
      <c r="G11" s="3" t="s">
        <v>35</v>
      </c>
      <c r="H11" s="3">
        <v>1.67</v>
      </c>
      <c r="I11" s="14">
        <v>0</v>
      </c>
      <c r="J11" s="3">
        <v>0</v>
      </c>
      <c r="K11" s="17" t="s">
        <v>30</v>
      </c>
    </row>
    <row r="12" spans="1:11">
      <c r="A12" s="5">
        <v>6</v>
      </c>
      <c r="B12" s="1" t="s">
        <v>31</v>
      </c>
      <c r="C12" s="1" t="s">
        <v>13</v>
      </c>
      <c r="D12" s="8" t="s">
        <v>1</v>
      </c>
      <c r="E12" s="1" t="s">
        <v>25</v>
      </c>
      <c r="F12" s="1" t="s">
        <v>26</v>
      </c>
      <c r="G12" s="1" t="s">
        <v>14</v>
      </c>
      <c r="H12" s="1" t="s">
        <v>27</v>
      </c>
      <c r="I12" s="1" t="s">
        <v>28</v>
      </c>
      <c r="J12" s="19" t="s">
        <v>29</v>
      </c>
      <c r="K12" s="9" t="s">
        <v>19</v>
      </c>
    </row>
    <row r="13" spans="1:11" ht="15.4" thickBot="1">
      <c r="A13" s="5"/>
      <c r="B13" s="3"/>
      <c r="C13" s="3">
        <v>0.99</v>
      </c>
      <c r="D13" s="3">
        <v>0</v>
      </c>
      <c r="E13" s="3">
        <v>0.18</v>
      </c>
      <c r="F13" s="3">
        <v>1.5</v>
      </c>
      <c r="G13" s="3" t="s">
        <v>35</v>
      </c>
      <c r="H13" s="3">
        <v>0</v>
      </c>
      <c r="I13" s="14">
        <v>0</v>
      </c>
      <c r="J13" s="3">
        <v>0</v>
      </c>
      <c r="K13" s="17" t="s">
        <v>31</v>
      </c>
    </row>
    <row r="14" spans="1:11">
      <c r="A14" s="5">
        <v>7</v>
      </c>
      <c r="B14" s="10" t="s">
        <v>33</v>
      </c>
      <c r="C14" s="10" t="s">
        <v>13</v>
      </c>
      <c r="D14" s="8" t="s">
        <v>1</v>
      </c>
      <c r="E14" s="10" t="s">
        <v>25</v>
      </c>
      <c r="F14" s="10" t="s">
        <v>26</v>
      </c>
      <c r="G14" s="10" t="s">
        <v>14</v>
      </c>
      <c r="H14" s="10" t="s">
        <v>27</v>
      </c>
      <c r="I14" s="10" t="s">
        <v>28</v>
      </c>
      <c r="J14" s="20" t="s">
        <v>29</v>
      </c>
      <c r="K14" s="11" t="s">
        <v>19</v>
      </c>
    </row>
    <row r="15" spans="1:11" ht="15.4" thickBot="1">
      <c r="A15" s="5"/>
      <c r="B15" s="3"/>
      <c r="C15" s="3">
        <v>0.99</v>
      </c>
      <c r="D15" s="3">
        <v>10000</v>
      </c>
      <c r="E15" s="3">
        <v>0.2</v>
      </c>
      <c r="F15" s="3">
        <v>1</v>
      </c>
      <c r="G15" s="3" t="s">
        <v>35</v>
      </c>
      <c r="H15" s="3">
        <v>0</v>
      </c>
      <c r="I15" s="14">
        <v>0</v>
      </c>
      <c r="J15" s="3">
        <v>0</v>
      </c>
      <c r="K15" s="17" t="s">
        <v>33</v>
      </c>
    </row>
    <row r="16" spans="1:11">
      <c r="A16" s="5"/>
      <c r="B16" s="3"/>
      <c r="C16" s="3"/>
      <c r="D16" s="8"/>
      <c r="E16" s="3"/>
      <c r="F16" s="3"/>
      <c r="G16" s="3"/>
      <c r="H16" s="3"/>
      <c r="I16" s="14"/>
      <c r="J16" s="3"/>
      <c r="K16" s="17"/>
    </row>
    <row r="17" spans="1:11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5.4" thickBot="1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B2:XFD3 J4:XFD4 K5:XFD5 B6:XFD13 L14:XFD14 F15:XFD21 B16:E21 A22:XFD1048576">
    <cfRule type="expression" dxfId="16" priority="3">
      <formula>MOD(ROW(),2)=0</formula>
    </cfRule>
  </conditionalFormatting>
  <conditionalFormatting sqref="B4:I5">
    <cfRule type="expression" dxfId="15" priority="1">
      <formula>MOD(ROW(),2)=0</formula>
    </cfRule>
  </conditionalFormatting>
  <conditionalFormatting sqref="D14">
    <cfRule type="expression" dxfId="14" priority="2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Templates</vt:lpstr>
      <vt:lpstr>F16</vt:lpstr>
      <vt:lpstr>C172</vt:lpstr>
      <vt:lpstr>B747</vt:lpstr>
      <vt:lpstr>TurboTilt</vt:lpstr>
      <vt:lpstr>FlyingSub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Ty Hensley</cp:lastModifiedBy>
  <dcterms:created xsi:type="dcterms:W3CDTF">2024-11-07T17:59:15Z</dcterms:created>
  <dcterms:modified xsi:type="dcterms:W3CDTF">2026-09-20T23:25:01Z</dcterms:modified>
</cp:coreProperties>
</file>