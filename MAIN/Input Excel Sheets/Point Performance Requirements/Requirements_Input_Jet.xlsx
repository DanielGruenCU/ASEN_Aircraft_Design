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Point Performance Requirements\"/>
    </mc:Choice>
  </mc:AlternateContent>
  <xr:revisionPtr revIDLastSave="0" documentId="13_ncr:1_{6ECC0444-85A1-44D5-95A3-02FCD6E6C00E}" xr6:coauthVersionLast="47" xr6:coauthVersionMax="47" xr10:uidLastSave="{00000000-0000-0000-0000-000000000000}"/>
  <bookViews>
    <workbookView xWindow="-108" yWindow="-108" windowWidth="23256" windowHeight="12576" tabRatio="500" activeTab="4" xr2:uid="{00000000-000D-0000-FFFF-FFFF00000000}"/>
  </bookViews>
  <sheets>
    <sheet name="Templates" sheetId="1" r:id="rId1"/>
    <sheet name="F16" sheetId="2" r:id="rId2"/>
    <sheet name="C172" sheetId="3" r:id="rId3"/>
    <sheet name="B747" sheetId="4" r:id="rId4"/>
    <sheet name="JetSubmersibl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<sst xmlns="http://schemas.openxmlformats.org/spreadsheetml/2006/main" count="417" uniqueCount="52">
  <si>
    <t>Takeoff Distance</t>
  </si>
  <si>
    <t>Beta</t>
  </si>
  <si>
    <t>Altitude [ft]</t>
  </si>
  <si>
    <t>Throttle</t>
  </si>
  <si>
    <t>CL Max</t>
  </si>
  <si>
    <t>Coef Friction</t>
  </si>
  <si>
    <t>CDx</t>
  </si>
  <si>
    <t>Takeoff Distance [ft]</t>
  </si>
  <si>
    <t>Label</t>
  </si>
  <si>
    <t>Landing Distance</t>
  </si>
  <si>
    <t>Landing Distance [ft]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</si>
  <si>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</si>
  <si>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</si>
  <si>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</si>
  <si>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</si>
  <si>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</si>
  <si>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</si>
  <si>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</si>
  <si>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</si>
  <si>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</si>
  <si>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</si>
  <si>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Max Mach</t>
  </si>
  <si>
    <t>VTOL</t>
  </si>
  <si>
    <t>Altitude[ft]</t>
  </si>
  <si>
    <t>V_Climb [ft/s]</t>
  </si>
  <si>
    <t>Requirement #</t>
  </si>
  <si>
    <t>Requirement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</si>
  <si>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</si>
  <si>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</si>
  <si>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</si>
  <si>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</si>
  <si>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</si>
  <si>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</si>
  <si>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</si>
  <si>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</si>
  <si>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Input 9</t>
  </si>
  <si>
    <t>MIL</t>
  </si>
  <si>
    <t>TO A</t>
  </si>
  <si>
    <t>TO B</t>
  </si>
  <si>
    <t xml:space="preserve">Landing </t>
  </si>
  <si>
    <t>AB</t>
  </si>
  <si>
    <t>PROP</t>
  </si>
  <si>
    <t>Takeoff</t>
  </si>
  <si>
    <t>Landing</t>
  </si>
  <si>
    <t xml:space="preserve">Takeoff </t>
  </si>
  <si>
    <t>TO Distance 2.5kft</t>
  </si>
  <si>
    <t>Abs Ceiling 45kft</t>
  </si>
  <si>
    <t>Service Ceiling 35kft</t>
  </si>
  <si>
    <t>Sustained Turn 25kft</t>
  </si>
  <si>
    <t>Landing Distance 1kft</t>
  </si>
  <si>
    <t>Stall Velocity 88kts</t>
  </si>
  <si>
    <t>Max Mach (0.95) @ 35kft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</si>
</sst>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rgb="FF000000"/>
      <name val="Aptos Narrow"/>
      <family val="2"/>
      <charset val="1"/>
    </font>
    <font>
      <sz val="12"/>
      <color rgb="FF000000"/>
      <name val="Arial Unicode MS"/>
      <family val="2"/>
      <charset val="1"/>
    </font>
    <font>
      <b/>
      <sz val="12"/>
      <color rgb="FF000000"/>
      <name val="Arial Unicode M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1" fillId="0" borderId="3" xfId="0" applyFont="1" applyBorder="1"/>
    <xf numFmtId="0" fontId="2" fillId="2" borderId="4" xfId="0" applyFont="1" applyFill="1" applyBorder="1"/>
    <xf numFmtId="0" fontId="2" fillId="2" borderId="3" xfId="0" applyFont="1" applyFill="1" applyBorder="1"/>
    <xf numFmtId="0" fontId="2" fillId="0" borderId="0" xfId="0" applyFont="1"/>
    <xf numFmtId="0" fontId="2" fillId="0" borderId="1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1" fillId="0" borderId="4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2" fillId="0" borderId="3" xfId="0" applyFont="1" applyBorder="1"/>
  </cellXfs>
  <cellStyles count="1">
    <cellStyle name="Normal" xfId="0" builtinId="0"/>
  </cellStyles>
  <dxfs count="16"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K200" totalsRowShown="0">
  <autoFilter ref="A1:K200" xr:uid="{00000000-0009-0000-0100-000001000000}"/>
  <tableColumns count="11">
    <tableColumn id="1" xr3:uid="{00000000-0010-0000-0000-000001000000}" name="Requirement #"/>
    <tableColumn id="2" xr3:uid="{00000000-0010-0000-0000-000002000000}" name="Requirement Type"/>
    <tableColumn id="3" xr3:uid="{00000000-0010-0000-0000-000003000000}" name="Input 1"/>
    <tableColumn id="4" xr3:uid="{00000000-0010-0000-0000-000004000000}" name="Input 2"/>
    <tableColumn id="5" xr3:uid="{00000000-0010-0000-0000-000005000000}" name="Input 3"/>
    <tableColumn id="6" xr3:uid="{00000000-0010-0000-0000-000006000000}" name="Input 4"/>
    <tableColumn id="7" xr3:uid="{00000000-0010-0000-0000-000007000000}" name="Input 5"/>
    <tableColumn id="8" xr3:uid="{00000000-0010-0000-0000-000008000000}" name="Input 6"/>
    <tableColumn id="9" xr3:uid="{00000000-0010-0000-0000-000009000000}" name="Input 7"/>
    <tableColumn id="10" xr3:uid="{00000000-0010-0000-0000-00000A000000}" name="Input 8"/>
    <tableColumn id="11" xr3:uid="{00000000-0010-0000-0000-00000B000000}" name="Input 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2" displayName="Table32" ref="A1:K200" totalsRowShown="0">
  <autoFilter ref="A1:K200" xr:uid="{00000000-0009-0000-0100-000002000000}"/>
  <tableColumns count="11">
    <tableColumn id="1" xr3:uid="{00000000-0010-0000-0100-000001000000}" name="Requirement #"/>
    <tableColumn id="2" xr3:uid="{00000000-0010-0000-0100-000002000000}" name="Requirement Type"/>
    <tableColumn id="3" xr3:uid="{00000000-0010-0000-0100-000003000000}" name="Input 1"/>
    <tableColumn id="4" xr3:uid="{00000000-0010-0000-0100-000004000000}" name="Input 2"/>
    <tableColumn id="5" xr3:uid="{00000000-0010-0000-0100-000005000000}" name="Input 3"/>
    <tableColumn id="6" xr3:uid="{00000000-0010-0000-0100-000006000000}" name="Input 4"/>
    <tableColumn id="7" xr3:uid="{00000000-0010-0000-0100-000007000000}" name="Input 5"/>
    <tableColumn id="8" xr3:uid="{00000000-0010-0000-0100-000008000000}" name="Input 6"/>
    <tableColumn id="9" xr3:uid="{00000000-0010-0000-0100-000009000000}" name="Input 7"/>
    <tableColumn id="10" xr3:uid="{00000000-0010-0000-0100-00000A000000}" name="Input 8"/>
    <tableColumn id="11" xr3:uid="{00000000-0010-0000-0100-00000B000000}" name="Input 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23" displayName="Table323" ref="A1:K200" totalsRowShown="0">
  <autoFilter ref="A1:K200" xr:uid="{00000000-0009-0000-0100-000003000000}"/>
  <tableColumns count="11">
    <tableColumn id="1" xr3:uid="{00000000-0010-0000-0200-000001000000}" name="Requirement #"/>
    <tableColumn id="2" xr3:uid="{00000000-0010-0000-0200-000002000000}" name="Requirement Type"/>
    <tableColumn id="3" xr3:uid="{00000000-0010-0000-0200-000003000000}" name="Input 1"/>
    <tableColumn id="4" xr3:uid="{00000000-0010-0000-0200-000004000000}" name="Input 2"/>
    <tableColumn id="5" xr3:uid="{00000000-0010-0000-0200-000005000000}" name="Input 3"/>
    <tableColumn id="6" xr3:uid="{00000000-0010-0000-0200-000006000000}" name="Input 4"/>
    <tableColumn id="7" xr3:uid="{00000000-0010-0000-0200-000007000000}" name="Input 5"/>
    <tableColumn id="8" xr3:uid="{00000000-0010-0000-0200-000008000000}" name="Input 6"/>
    <tableColumn id="9" xr3:uid="{00000000-0010-0000-0200-000009000000}" name="Input 7"/>
    <tableColumn id="10" xr3:uid="{00000000-0010-0000-0200-00000A000000}" name="Input 8"/>
    <tableColumn id="11" xr3:uid="{00000000-0010-0000-0200-00000B000000}" name="Input 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25" displayName="Table325" ref="A1:K200" totalsRowShown="0">
  <autoFilter ref="A1:K200" xr:uid="{00000000-0009-0000-0100-000004000000}"/>
  <tableColumns count="11">
    <tableColumn id="1" xr3:uid="{00000000-0010-0000-0300-000001000000}" name="Requirement #"/>
    <tableColumn id="2" xr3:uid="{00000000-0010-0000-0300-000002000000}" name="Requirement Type"/>
    <tableColumn id="3" xr3:uid="{00000000-0010-0000-0300-000003000000}" name="Input 1"/>
    <tableColumn id="4" xr3:uid="{00000000-0010-0000-0300-000004000000}" name="Input 2"/>
    <tableColumn id="5" xr3:uid="{00000000-0010-0000-0300-000005000000}" name="Input 3"/>
    <tableColumn id="6" xr3:uid="{00000000-0010-0000-0300-000006000000}" name="Input 4"/>
    <tableColumn id="7" xr3:uid="{00000000-0010-0000-0300-000007000000}" name="Input 5"/>
    <tableColumn id="8" xr3:uid="{00000000-0010-0000-0300-000008000000}" name="Input 6"/>
    <tableColumn id="9" xr3:uid="{00000000-0010-0000-0300-000009000000}" name="Input 7"/>
    <tableColumn id="10" xr3:uid="{00000000-0010-0000-0300-00000A000000}" name="Input 8"/>
    <tableColumn id="11" xr3:uid="{00000000-0010-0000-0300-00000B000000}" name="Input 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22"/>
  <sheetViews>
    <sheetView zoomScale="113" zoomScaleNormal="113" workbookViewId="0"/>
  </sheetViews>
  <sheetFormatPr defaultRowHeight="15.6"/>
  <cols>
    <col min="1" max="4" width="20.796875" style="1" customWidth="1"/>
    <col min="5" max="6" width="13.5" style="1" customWidth="1"/>
    <col min="7" max="7" width="20.796875" style="1" customWidth="1"/>
    <col min="8" max="8" width="21.19921875" style="1" customWidth="1"/>
    <col min="9" max="9" width="20.69921875" style="1" customWidth="1"/>
    <col min="10" max="1025" width="10.796875" style="1" customWidth="1"/>
  </cols>
  <sheetData>
    <row r="1" spans="1:10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/>
    </row>
    <row r="2" spans="1:10">
      <c r="A2" s="5"/>
      <c r="B2" s="6"/>
      <c r="C2" s="6"/>
      <c r="D2" s="6"/>
      <c r="E2" s="6"/>
      <c r="F2" s="6"/>
      <c r="G2" s="6"/>
      <c r="H2" s="6"/>
      <c r="I2" s="6"/>
      <c r="J2" s="6"/>
    </row>
    <row r="3" spans="1:10">
      <c r="A3" s="7" t="s">
        <v>9</v>
      </c>
      <c r="B3" s="8" t="s">
        <v>1</v>
      </c>
      <c r="C3" s="8" t="s">
        <v>2</v>
      </c>
      <c r="D3" s="8" t="s">
        <v>4</v>
      </c>
      <c r="E3" s="8" t="s">
        <v>5</v>
      </c>
      <c r="F3" s="8" t="s">
        <v>6</v>
      </c>
      <c r="G3" s="8" t="s">
        <v>10</v>
      </c>
      <c r="H3" s="8" t="s">
        <v>8</v>
      </c>
      <c r="I3" s="8"/>
      <c r="J3" s="4"/>
    </row>
    <row r="4" spans="1:10">
      <c r="A4" s="5"/>
      <c r="B4" s="6"/>
      <c r="C4" s="6"/>
      <c r="D4" s="6"/>
      <c r="E4" s="6"/>
      <c r="F4" s="6"/>
      <c r="G4" s="6"/>
      <c r="H4" s="6"/>
      <c r="I4" s="6"/>
      <c r="J4" s="6"/>
    </row>
    <row r="5" spans="1:10">
      <c r="A5" s="7" t="s">
        <v>11</v>
      </c>
      <c r="B5" s="8" t="s">
        <v>2</v>
      </c>
      <c r="C5" s="8" t="s">
        <v>4</v>
      </c>
      <c r="D5" s="8" t="s">
        <v>12</v>
      </c>
      <c r="E5" s="8" t="s">
        <v>8</v>
      </c>
      <c r="F5" s="8"/>
      <c r="G5" s="8"/>
      <c r="H5" s="8"/>
      <c r="I5" s="8"/>
      <c r="J5" s="4"/>
    </row>
    <row r="6" spans="1:10">
      <c r="A6" s="5"/>
      <c r="B6" s="6"/>
      <c r="C6" s="6"/>
      <c r="D6" s="6"/>
      <c r="E6" s="6"/>
      <c r="F6" s="6"/>
      <c r="G6" s="6"/>
      <c r="H6" s="6"/>
      <c r="I6" s="6"/>
      <c r="J6" s="6"/>
    </row>
    <row r="7" spans="1:10" s="9" customFormat="1">
      <c r="A7" s="7" t="s">
        <v>13</v>
      </c>
      <c r="B7" s="8" t="s">
        <v>1</v>
      </c>
      <c r="C7" s="8" t="s">
        <v>2</v>
      </c>
      <c r="D7" s="8" t="s">
        <v>14</v>
      </c>
      <c r="E7" s="8" t="s">
        <v>15</v>
      </c>
      <c r="F7" s="8" t="s">
        <v>3</v>
      </c>
      <c r="G7" s="8" t="s">
        <v>16</v>
      </c>
      <c r="H7" s="8" t="s">
        <v>17</v>
      </c>
      <c r="I7" s="8" t="s">
        <v>18</v>
      </c>
      <c r="J7" s="8" t="s">
        <v>8</v>
      </c>
    </row>
    <row r="8" spans="1:10">
      <c r="A8" s="5"/>
      <c r="B8" s="6"/>
      <c r="C8" s="6"/>
      <c r="D8" s="6"/>
      <c r="E8" s="6"/>
      <c r="F8" s="6"/>
      <c r="G8" s="6"/>
      <c r="H8" s="6"/>
      <c r="I8" s="6"/>
      <c r="J8" s="6"/>
    </row>
    <row r="9" spans="1:10" s="9" customFormat="1">
      <c r="A9" s="7" t="s">
        <v>19</v>
      </c>
      <c r="B9" s="8" t="s">
        <v>1</v>
      </c>
      <c r="C9" s="8" t="s">
        <v>2</v>
      </c>
      <c r="D9" s="8" t="s">
        <v>14</v>
      </c>
      <c r="E9" s="8" t="s">
        <v>15</v>
      </c>
      <c r="F9" s="8" t="s">
        <v>3</v>
      </c>
      <c r="G9" s="8" t="s">
        <v>16</v>
      </c>
      <c r="H9" s="8" t="s">
        <v>17</v>
      </c>
      <c r="I9" s="8" t="s">
        <v>18</v>
      </c>
      <c r="J9" s="8" t="s">
        <v>8</v>
      </c>
    </row>
    <row r="10" spans="1:10">
      <c r="A10" s="5"/>
      <c r="B10" s="6"/>
      <c r="C10" s="6"/>
      <c r="D10" s="6"/>
      <c r="E10" s="6"/>
      <c r="F10" s="6"/>
      <c r="G10" s="6"/>
      <c r="H10" s="6"/>
      <c r="I10" s="6"/>
      <c r="J10" s="6"/>
    </row>
    <row r="11" spans="1:10" s="9" customFormat="1">
      <c r="A11" s="7" t="s">
        <v>20</v>
      </c>
      <c r="B11" s="8" t="s">
        <v>1</v>
      </c>
      <c r="C11" s="8" t="s">
        <v>2</v>
      </c>
      <c r="D11" s="8" t="s">
        <v>14</v>
      </c>
      <c r="E11" s="8" t="s">
        <v>15</v>
      </c>
      <c r="F11" s="8" t="s">
        <v>3</v>
      </c>
      <c r="G11" s="8" t="s">
        <v>16</v>
      </c>
      <c r="H11" s="8" t="s">
        <v>17</v>
      </c>
      <c r="I11" s="8" t="s">
        <v>18</v>
      </c>
      <c r="J11" s="8" t="s">
        <v>8</v>
      </c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6"/>
    </row>
    <row r="13" spans="1:10" s="9" customFormat="1">
      <c r="A13" s="7" t="s">
        <v>21</v>
      </c>
      <c r="B13" s="8" t="s">
        <v>1</v>
      </c>
      <c r="C13" s="8" t="s">
        <v>2</v>
      </c>
      <c r="D13" s="8" t="s">
        <v>14</v>
      </c>
      <c r="E13" s="8" t="s">
        <v>15</v>
      </c>
      <c r="F13" s="8" t="s">
        <v>3</v>
      </c>
      <c r="G13" s="8" t="s">
        <v>16</v>
      </c>
      <c r="H13" s="8" t="s">
        <v>17</v>
      </c>
      <c r="I13" s="8" t="s">
        <v>18</v>
      </c>
      <c r="J13" s="8" t="s">
        <v>8</v>
      </c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6"/>
    </row>
    <row r="15" spans="1:10">
      <c r="A15" s="9" t="s">
        <v>22</v>
      </c>
      <c r="B15" s="9" t="s">
        <v>1</v>
      </c>
      <c r="C15" s="9" t="s">
        <v>23</v>
      </c>
      <c r="D15" s="9" t="s">
        <v>24</v>
      </c>
    </row>
    <row r="16" spans="1:10">
      <c r="A16" s="9"/>
      <c r="B16" s="9"/>
    </row>
    <row r="19" spans="1:2">
      <c r="A19" s="9"/>
      <c r="B19" s="9"/>
    </row>
    <row r="22" spans="1:2">
      <c r="A22" s="9"/>
      <c r="B22" s="9"/>
    </row>
  </sheetData>
  <conditionalFormatting sqref="B5:I6">
    <cfRule type="expression" dxfId="15" priority="2">
      <formula>MOD(ROW(),2)=0</formula>
    </cfRule>
  </conditionalFormatting>
  <conditionalFormatting sqref="B1:J4 B7:J14">
    <cfRule type="expression" dxfId="14" priority="3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200"/>
  <sheetViews>
    <sheetView topLeftCell="B1" zoomScaleNormal="100" workbookViewId="0">
      <selection activeCell="H7" sqref="H7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3.0976562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36</v>
      </c>
      <c r="F3" s="6">
        <v>1.2</v>
      </c>
      <c r="G3" s="6">
        <v>0.02</v>
      </c>
      <c r="H3" s="6">
        <v>3.5000000000000003E-2</v>
      </c>
      <c r="I3" s="13">
        <v>3500</v>
      </c>
      <c r="J3" s="6" t="s">
        <v>37</v>
      </c>
      <c r="K3" s="14"/>
    </row>
    <row r="4" spans="1:11">
      <c r="A4" s="5">
        <v>2</v>
      </c>
      <c r="B4" s="9" t="s">
        <v>0</v>
      </c>
      <c r="C4" s="9" t="s">
        <v>1</v>
      </c>
      <c r="D4" s="9" t="s">
        <v>2</v>
      </c>
      <c r="E4" s="9" t="s">
        <v>3</v>
      </c>
      <c r="F4" s="9" t="s">
        <v>4</v>
      </c>
      <c r="G4" s="9" t="s">
        <v>5</v>
      </c>
      <c r="H4" s="9" t="s">
        <v>6</v>
      </c>
      <c r="I4" s="9" t="s">
        <v>7</v>
      </c>
      <c r="J4" s="6" t="s">
        <v>8</v>
      </c>
      <c r="K4" s="14"/>
    </row>
    <row r="5" spans="1:11">
      <c r="A5" s="5"/>
      <c r="B5" s="6"/>
      <c r="C5" s="6">
        <v>1</v>
      </c>
      <c r="D5" s="6">
        <v>0</v>
      </c>
      <c r="E5" s="6" t="s">
        <v>36</v>
      </c>
      <c r="F5" s="6">
        <v>1.2</v>
      </c>
      <c r="G5" s="6">
        <v>0.02</v>
      </c>
      <c r="H5" s="6">
        <v>3.5000000000000003E-2</v>
      </c>
      <c r="I5" s="13">
        <v>4000</v>
      </c>
      <c r="J5" s="6" t="s">
        <v>38</v>
      </c>
      <c r="K5" s="14"/>
    </row>
    <row r="6" spans="1:11">
      <c r="A6" s="5">
        <v>3</v>
      </c>
      <c r="B6" s="9" t="s">
        <v>9</v>
      </c>
      <c r="C6" s="9" t="s">
        <v>1</v>
      </c>
      <c r="D6" s="9" t="s">
        <v>2</v>
      </c>
      <c r="E6" s="9" t="s">
        <v>4</v>
      </c>
      <c r="F6" s="9" t="s">
        <v>5</v>
      </c>
      <c r="G6" s="9" t="s">
        <v>6</v>
      </c>
      <c r="H6" s="9" t="s">
        <v>10</v>
      </c>
      <c r="I6" s="9" t="s">
        <v>8</v>
      </c>
      <c r="J6" s="6"/>
      <c r="K6" s="6"/>
    </row>
    <row r="7" spans="1:11">
      <c r="A7" s="5"/>
      <c r="B7" s="6"/>
      <c r="C7" s="6">
        <v>1</v>
      </c>
      <c r="D7" s="6">
        <v>0</v>
      </c>
      <c r="E7" s="6">
        <v>0.4</v>
      </c>
      <c r="F7" s="6">
        <v>1.2</v>
      </c>
      <c r="G7" s="6">
        <v>0.05</v>
      </c>
      <c r="H7" s="6">
        <v>4500</v>
      </c>
      <c r="I7" s="13" t="s">
        <v>39</v>
      </c>
      <c r="J7" s="6"/>
      <c r="K7" s="6"/>
    </row>
    <row r="8" spans="1:11">
      <c r="A8" s="5">
        <v>4</v>
      </c>
      <c r="B8" s="6" t="s">
        <v>11</v>
      </c>
      <c r="C8" s="6" t="s">
        <v>2</v>
      </c>
      <c r="D8" s="6" t="s">
        <v>4</v>
      </c>
      <c r="E8" s="6" t="s">
        <v>12</v>
      </c>
      <c r="F8" s="6" t="s">
        <v>8</v>
      </c>
      <c r="G8" s="6"/>
      <c r="H8" s="6"/>
      <c r="I8" s="6"/>
      <c r="J8" s="6"/>
      <c r="K8" s="6"/>
    </row>
    <row r="9" spans="1:11">
      <c r="A9" s="5"/>
      <c r="B9" s="6"/>
      <c r="C9" s="6">
        <v>5000</v>
      </c>
      <c r="D9" s="6">
        <v>1.5</v>
      </c>
      <c r="E9" s="6">
        <v>160</v>
      </c>
      <c r="F9" s="6" t="s">
        <v>11</v>
      </c>
      <c r="G9" s="6"/>
      <c r="H9" s="6"/>
      <c r="I9" s="6"/>
      <c r="J9" s="6"/>
      <c r="K9" s="6"/>
    </row>
    <row r="10" spans="1:11">
      <c r="A10" s="5">
        <v>5</v>
      </c>
      <c r="B10" s="6" t="s">
        <v>13</v>
      </c>
      <c r="C10" s="6" t="s">
        <v>1</v>
      </c>
      <c r="D10" s="6" t="s">
        <v>2</v>
      </c>
      <c r="E10" s="6" t="s">
        <v>14</v>
      </c>
      <c r="F10" s="6" t="s">
        <v>15</v>
      </c>
      <c r="G10" s="6" t="s">
        <v>3</v>
      </c>
      <c r="H10" s="6" t="s">
        <v>16</v>
      </c>
      <c r="I10" s="6" t="s">
        <v>17</v>
      </c>
      <c r="J10" s="6" t="s">
        <v>18</v>
      </c>
      <c r="K10" s="6" t="s">
        <v>8</v>
      </c>
    </row>
    <row r="11" spans="1:11">
      <c r="A11" s="5"/>
      <c r="B11" s="6"/>
      <c r="C11" s="6">
        <v>0.85199999999999998</v>
      </c>
      <c r="D11" s="6">
        <v>40000</v>
      </c>
      <c r="E11" s="6">
        <v>0.8</v>
      </c>
      <c r="F11" s="6">
        <v>1</v>
      </c>
      <c r="G11" s="6" t="s">
        <v>40</v>
      </c>
      <c r="H11" s="6">
        <v>0</v>
      </c>
      <c r="I11" s="6">
        <v>0</v>
      </c>
      <c r="J11" s="6">
        <v>0</v>
      </c>
      <c r="K11" s="6" t="s">
        <v>13</v>
      </c>
    </row>
    <row r="12" spans="1:11">
      <c r="A12" s="5">
        <v>6</v>
      </c>
      <c r="B12" s="6" t="s">
        <v>19</v>
      </c>
      <c r="C12" s="6" t="s">
        <v>1</v>
      </c>
      <c r="D12" s="6" t="s">
        <v>2</v>
      </c>
      <c r="E12" s="6" t="s">
        <v>14</v>
      </c>
      <c r="F12" s="6" t="s">
        <v>15</v>
      </c>
      <c r="G12" s="6" t="s">
        <v>3</v>
      </c>
      <c r="H12" s="6" t="s">
        <v>16</v>
      </c>
      <c r="I12" s="6" t="s">
        <v>17</v>
      </c>
      <c r="J12" s="6" t="s">
        <v>18</v>
      </c>
      <c r="K12" s="6" t="s">
        <v>8</v>
      </c>
    </row>
    <row r="13" spans="1:11">
      <c r="A13" s="5"/>
      <c r="B13" s="6"/>
      <c r="C13" s="6">
        <v>0.85199999999999998</v>
      </c>
      <c r="D13" s="6">
        <v>35000</v>
      </c>
      <c r="E13" s="6">
        <v>0.8</v>
      </c>
      <c r="F13" s="6">
        <v>1</v>
      </c>
      <c r="G13" s="6" t="s">
        <v>36</v>
      </c>
      <c r="H13" s="6">
        <v>1.67</v>
      </c>
      <c r="I13" s="6">
        <v>0</v>
      </c>
      <c r="J13" s="6">
        <v>0</v>
      </c>
      <c r="K13" s="6" t="s">
        <v>19</v>
      </c>
    </row>
    <row r="14" spans="1:11">
      <c r="A14" s="5">
        <v>7</v>
      </c>
      <c r="B14" s="6" t="s">
        <v>20</v>
      </c>
      <c r="C14" s="6" t="s">
        <v>1</v>
      </c>
      <c r="D14" s="6" t="s">
        <v>2</v>
      </c>
      <c r="E14" s="6" t="s">
        <v>14</v>
      </c>
      <c r="F14" s="6" t="s">
        <v>15</v>
      </c>
      <c r="G14" s="6" t="s">
        <v>3</v>
      </c>
      <c r="H14" s="6" t="s">
        <v>16</v>
      </c>
      <c r="I14" s="6" t="s">
        <v>17</v>
      </c>
      <c r="J14" s="6" t="s">
        <v>18</v>
      </c>
      <c r="K14" s="6" t="s">
        <v>8</v>
      </c>
    </row>
    <row r="15" spans="1:11">
      <c r="A15" s="5"/>
      <c r="B15" s="6"/>
      <c r="C15" s="6">
        <v>0.85199999999999998</v>
      </c>
      <c r="D15" s="6">
        <v>20000</v>
      </c>
      <c r="E15" s="6">
        <v>0.9</v>
      </c>
      <c r="F15" s="6">
        <v>5</v>
      </c>
      <c r="G15" s="6" t="s">
        <v>40</v>
      </c>
      <c r="H15" s="6">
        <v>0</v>
      </c>
      <c r="I15" s="6">
        <v>0</v>
      </c>
      <c r="J15" s="6">
        <v>0</v>
      </c>
      <c r="K15" s="6" t="s">
        <v>20</v>
      </c>
    </row>
    <row r="16" spans="1:11">
      <c r="A16" s="5">
        <v>8</v>
      </c>
      <c r="B16" s="9" t="s">
        <v>21</v>
      </c>
      <c r="C16" s="9" t="s">
        <v>1</v>
      </c>
      <c r="D16" s="6" t="s">
        <v>2</v>
      </c>
      <c r="E16" s="9" t="s">
        <v>14</v>
      </c>
      <c r="F16" s="9" t="s">
        <v>15</v>
      </c>
      <c r="G16" s="9" t="s">
        <v>3</v>
      </c>
      <c r="H16" s="9" t="s">
        <v>16</v>
      </c>
      <c r="I16" s="9" t="s">
        <v>17</v>
      </c>
      <c r="J16" s="15" t="s">
        <v>18</v>
      </c>
      <c r="K16" s="16" t="s">
        <v>8</v>
      </c>
    </row>
    <row r="17" spans="1:11">
      <c r="A17" s="5"/>
      <c r="B17" s="6"/>
      <c r="C17" s="6">
        <v>0.85199999999999998</v>
      </c>
      <c r="D17" s="6">
        <v>20000</v>
      </c>
      <c r="E17" s="6">
        <v>1</v>
      </c>
      <c r="F17" s="6">
        <v>1</v>
      </c>
      <c r="G17" s="6" t="s">
        <v>40</v>
      </c>
      <c r="H17" s="6">
        <v>0</v>
      </c>
      <c r="I17" s="13">
        <v>0</v>
      </c>
      <c r="J17" s="6">
        <v>0</v>
      </c>
      <c r="K17" s="14" t="s">
        <v>21</v>
      </c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5 L6:AMJ17 B8:K15 F17:K17 B18:AMJ21 A22:AMJ1048576">
    <cfRule type="expression" dxfId="13" priority="2">
      <formula>MOD(ROW(),2)=0</formula>
    </cfRule>
  </conditionalFormatting>
  <conditionalFormatting sqref="B6:I7">
    <cfRule type="expression" dxfId="12" priority="3">
      <formula>MOD(ROW(),2)=0</formula>
    </cfRule>
  </conditionalFormatting>
  <conditionalFormatting sqref="D16">
    <cfRule type="expression" dxfId="11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K200"/>
  <sheetViews>
    <sheetView zoomScale="85" zoomScaleNormal="85" workbookViewId="0">
      <selection activeCell="F3" sqref="F3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2.29687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41</v>
      </c>
      <c r="F3" s="6">
        <v>2</v>
      </c>
      <c r="G3" s="6">
        <v>0.02</v>
      </c>
      <c r="H3" s="6">
        <v>0</v>
      </c>
      <c r="I3" s="13">
        <v>2000</v>
      </c>
      <c r="J3" s="6" t="s">
        <v>42</v>
      </c>
      <c r="K3" s="14"/>
    </row>
    <row r="4" spans="1:11">
      <c r="A4" s="5">
        <v>2</v>
      </c>
      <c r="B4" s="22" t="s">
        <v>9</v>
      </c>
      <c r="C4" s="22" t="s">
        <v>1</v>
      </c>
      <c r="D4" s="22" t="s">
        <v>2</v>
      </c>
      <c r="E4" s="22" t="s">
        <v>4</v>
      </c>
      <c r="F4" s="22" t="s">
        <v>5</v>
      </c>
      <c r="G4" s="22" t="s">
        <v>6</v>
      </c>
      <c r="H4" s="22" t="s">
        <v>10</v>
      </c>
      <c r="I4" s="22" t="s">
        <v>8</v>
      </c>
      <c r="J4" s="6"/>
      <c r="K4" s="14"/>
    </row>
    <row r="5" spans="1:11">
      <c r="A5" s="5"/>
      <c r="B5" s="6"/>
      <c r="C5" s="6">
        <v>1</v>
      </c>
      <c r="D5" s="6">
        <v>0</v>
      </c>
      <c r="E5" s="6">
        <v>2.2000000000000002</v>
      </c>
      <c r="F5" s="6">
        <v>0.2</v>
      </c>
      <c r="G5" s="6">
        <v>0</v>
      </c>
      <c r="H5" s="6">
        <v>1000</v>
      </c>
      <c r="I5" s="6" t="s">
        <v>43</v>
      </c>
      <c r="J5" s="6"/>
      <c r="K5" s="14"/>
    </row>
    <row r="6" spans="1:11">
      <c r="A6" s="5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spans="1:11">
      <c r="A7" s="5"/>
      <c r="B7" s="6"/>
      <c r="C7" s="6">
        <v>0</v>
      </c>
      <c r="D7" s="6">
        <v>2</v>
      </c>
      <c r="E7" s="6">
        <v>55</v>
      </c>
      <c r="F7" s="6" t="s">
        <v>11</v>
      </c>
      <c r="G7" s="6"/>
      <c r="H7" s="6"/>
      <c r="I7" s="13"/>
      <c r="J7" s="6"/>
      <c r="K7" s="14"/>
    </row>
    <row r="8" spans="1:11">
      <c r="A8" s="5">
        <v>4</v>
      </c>
      <c r="B8" s="9" t="s">
        <v>13</v>
      </c>
      <c r="C8" s="9" t="s">
        <v>1</v>
      </c>
      <c r="D8" s="11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spans="1:11">
      <c r="A9" s="5"/>
      <c r="B9" s="6"/>
      <c r="C9" s="6">
        <v>0.85199999999999998</v>
      </c>
      <c r="D9" s="6">
        <v>15000</v>
      </c>
      <c r="E9" s="6">
        <v>0.18</v>
      </c>
      <c r="F9" s="6">
        <v>1</v>
      </c>
      <c r="G9" s="6" t="s">
        <v>41</v>
      </c>
      <c r="H9" s="6">
        <v>0</v>
      </c>
      <c r="I9" s="13">
        <v>0</v>
      </c>
      <c r="J9" s="6">
        <v>0</v>
      </c>
      <c r="K9" s="14" t="s">
        <v>13</v>
      </c>
    </row>
    <row r="10" spans="1:11">
      <c r="A10" s="5">
        <v>5</v>
      </c>
      <c r="B10" s="9" t="s">
        <v>19</v>
      </c>
      <c r="C10" s="9" t="s">
        <v>1</v>
      </c>
      <c r="D10" s="11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spans="1:11">
      <c r="A11" s="5"/>
      <c r="B11" s="6"/>
      <c r="C11" s="6">
        <v>0.85199999999999998</v>
      </c>
      <c r="D11" s="6">
        <v>13000</v>
      </c>
      <c r="E11" s="6">
        <v>0.18</v>
      </c>
      <c r="F11" s="6">
        <v>1</v>
      </c>
      <c r="G11" s="6" t="s">
        <v>41</v>
      </c>
      <c r="H11" s="6">
        <v>1.67</v>
      </c>
      <c r="I11" s="13">
        <v>0</v>
      </c>
      <c r="J11" s="6">
        <v>0</v>
      </c>
      <c r="K11" s="14" t="s">
        <v>19</v>
      </c>
    </row>
    <row r="12" spans="1:11">
      <c r="A12" s="5">
        <v>6</v>
      </c>
      <c r="B12" s="9" t="s">
        <v>20</v>
      </c>
      <c r="C12" s="9" t="s">
        <v>1</v>
      </c>
      <c r="D12" s="11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spans="1:11">
      <c r="A13" s="5"/>
      <c r="B13" s="6"/>
      <c r="C13" s="6">
        <v>0.85199999999999998</v>
      </c>
      <c r="D13" s="6">
        <v>0</v>
      </c>
      <c r="E13" s="6">
        <v>0.18</v>
      </c>
      <c r="F13" s="6">
        <v>1.5</v>
      </c>
      <c r="G13" s="6" t="s">
        <v>41</v>
      </c>
      <c r="H13" s="6">
        <v>0</v>
      </c>
      <c r="I13" s="13">
        <v>0</v>
      </c>
      <c r="J13" s="6">
        <v>0</v>
      </c>
      <c r="K13" s="14" t="s">
        <v>20</v>
      </c>
    </row>
    <row r="14" spans="1:11">
      <c r="A14" s="5">
        <v>7</v>
      </c>
      <c r="B14" s="9" t="s">
        <v>21</v>
      </c>
      <c r="C14" s="9" t="s">
        <v>1</v>
      </c>
      <c r="D14" s="11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spans="1:11">
      <c r="A15" s="5"/>
      <c r="B15" s="6"/>
      <c r="C15" s="6">
        <v>0.85199999999999998</v>
      </c>
      <c r="D15" s="6">
        <v>10000</v>
      </c>
      <c r="E15" s="6">
        <v>0.2</v>
      </c>
      <c r="F15" s="6">
        <v>1</v>
      </c>
      <c r="G15" s="6" t="s">
        <v>41</v>
      </c>
      <c r="H15" s="6">
        <v>0</v>
      </c>
      <c r="I15" s="13">
        <v>0</v>
      </c>
      <c r="J15" s="6">
        <v>0</v>
      </c>
      <c r="K15" s="14" t="s">
        <v>21</v>
      </c>
    </row>
    <row r="16" spans="1:11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3 J4:AMJ4 K5:AMJ5 B6:AMJ13 L14:AMJ14 F15:AMJ21 B16:E21 A22:AMJ1048576">
    <cfRule type="expression" dxfId="10" priority="2">
      <formula>MOD(ROW(),2)=0</formula>
    </cfRule>
  </conditionalFormatting>
  <conditionalFormatting sqref="B4:I5">
    <cfRule type="expression" dxfId="9" priority="3">
      <formula>MOD(ROW(),2)=0</formula>
    </cfRule>
  </conditionalFormatting>
  <conditionalFormatting sqref="D14">
    <cfRule type="expression" dxfId="8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200"/>
  <sheetViews>
    <sheetView zoomScale="106" zoomScaleNormal="106" workbookViewId="0">
      <selection activeCell="E16" sqref="E16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2.296875" style="1" customWidth="1"/>
    <col min="7" max="7" width="14.796875" style="1" customWidth="1"/>
    <col min="8" max="8" width="21.296875" style="1" customWidth="1"/>
    <col min="9" max="9" width="19.29687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spans="1:11">
      <c r="A3" s="5"/>
      <c r="B3" s="6"/>
      <c r="C3" s="6">
        <v>1</v>
      </c>
      <c r="D3" s="6">
        <v>0</v>
      </c>
      <c r="E3" s="6" t="s">
        <v>36</v>
      </c>
      <c r="F3" s="6">
        <v>1.8</v>
      </c>
      <c r="G3" s="6">
        <v>0.02</v>
      </c>
      <c r="H3" s="6">
        <v>3.5000000000000003E-2</v>
      </c>
      <c r="I3" s="13">
        <v>10000</v>
      </c>
      <c r="J3" s="6" t="s">
        <v>44</v>
      </c>
      <c r="K3" s="14"/>
    </row>
    <row r="4" spans="1:11">
      <c r="A4" s="5">
        <v>2</v>
      </c>
      <c r="B4" s="9" t="s">
        <v>9</v>
      </c>
      <c r="C4" s="9" t="s">
        <v>1</v>
      </c>
      <c r="D4" s="9" t="s">
        <v>2</v>
      </c>
      <c r="E4" s="9" t="s">
        <v>4</v>
      </c>
      <c r="F4" s="9" t="s">
        <v>5</v>
      </c>
      <c r="G4" s="9" t="s">
        <v>6</v>
      </c>
      <c r="H4" s="9" t="s">
        <v>10</v>
      </c>
      <c r="I4" s="9" t="s">
        <v>8</v>
      </c>
      <c r="J4" s="6"/>
      <c r="K4" s="14"/>
    </row>
    <row r="5" spans="1:11">
      <c r="A5" s="5"/>
      <c r="B5" s="6"/>
      <c r="C5" s="6">
        <v>1</v>
      </c>
      <c r="D5" s="6">
        <v>0</v>
      </c>
      <c r="E5" s="6">
        <v>1.8</v>
      </c>
      <c r="F5" s="6">
        <v>0.5</v>
      </c>
      <c r="G5" s="6">
        <v>3.5000000000000003E-2</v>
      </c>
      <c r="H5" s="6">
        <v>3000</v>
      </c>
      <c r="I5" s="13" t="s">
        <v>39</v>
      </c>
      <c r="J5" s="6"/>
      <c r="K5" s="14"/>
    </row>
    <row r="6" spans="1:11">
      <c r="A6" s="5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spans="1:11">
      <c r="A7" s="5"/>
      <c r="B7" s="6"/>
      <c r="C7" s="6">
        <v>5000</v>
      </c>
      <c r="D7" s="6">
        <v>1.8</v>
      </c>
      <c r="E7" s="6">
        <v>160</v>
      </c>
      <c r="F7" s="6" t="s">
        <v>11</v>
      </c>
      <c r="G7" s="6"/>
      <c r="H7" s="6"/>
      <c r="I7" s="13"/>
      <c r="J7" s="6"/>
      <c r="K7" s="14"/>
    </row>
    <row r="8" spans="1:11">
      <c r="A8" s="5">
        <v>4</v>
      </c>
      <c r="B8" s="9" t="s">
        <v>13</v>
      </c>
      <c r="C8" s="9" t="s">
        <v>1</v>
      </c>
      <c r="D8" s="9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spans="1:11">
      <c r="A9" s="5"/>
      <c r="B9" s="6"/>
      <c r="C9" s="6">
        <v>0.85199999999999998</v>
      </c>
      <c r="D9" s="6">
        <v>40000</v>
      </c>
      <c r="E9" s="6">
        <v>0.77</v>
      </c>
      <c r="F9" s="6">
        <v>1</v>
      </c>
      <c r="G9" s="6" t="s">
        <v>36</v>
      </c>
      <c r="H9" s="6">
        <v>0</v>
      </c>
      <c r="I9" s="13">
        <v>0</v>
      </c>
      <c r="J9" s="6">
        <v>0</v>
      </c>
      <c r="K9" s="14" t="s">
        <v>13</v>
      </c>
    </row>
    <row r="10" spans="1:11">
      <c r="A10" s="5">
        <v>5</v>
      </c>
      <c r="B10" s="9" t="s">
        <v>19</v>
      </c>
      <c r="C10" s="9" t="s">
        <v>1</v>
      </c>
      <c r="D10" s="9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spans="1:11">
      <c r="A11" s="5"/>
      <c r="B11" s="6"/>
      <c r="C11" s="6">
        <v>0.85199999999999998</v>
      </c>
      <c r="D11" s="6">
        <v>38000</v>
      </c>
      <c r="E11" s="6">
        <v>0.77</v>
      </c>
      <c r="F11" s="6">
        <v>1</v>
      </c>
      <c r="G11" s="6" t="s">
        <v>36</v>
      </c>
      <c r="H11" s="6">
        <v>1.67</v>
      </c>
      <c r="I11" s="13">
        <v>0</v>
      </c>
      <c r="J11" s="6">
        <v>0</v>
      </c>
      <c r="K11" s="14" t="s">
        <v>19</v>
      </c>
    </row>
    <row r="12" spans="1:11">
      <c r="A12" s="5">
        <v>6</v>
      </c>
      <c r="B12" s="9" t="s">
        <v>20</v>
      </c>
      <c r="C12" s="9" t="s">
        <v>1</v>
      </c>
      <c r="D12" s="9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spans="1:11">
      <c r="A13" s="5"/>
      <c r="B13" s="6"/>
      <c r="C13" s="6">
        <v>0.85199999999999998</v>
      </c>
      <c r="D13" s="6">
        <v>20000</v>
      </c>
      <c r="E13" s="6">
        <v>0.77</v>
      </c>
      <c r="F13" s="6">
        <v>1.5</v>
      </c>
      <c r="G13" s="6" t="s">
        <v>36</v>
      </c>
      <c r="H13" s="6">
        <v>0</v>
      </c>
      <c r="I13" s="13">
        <v>0</v>
      </c>
      <c r="J13" s="6">
        <v>0</v>
      </c>
      <c r="K13" s="14" t="s">
        <v>20</v>
      </c>
    </row>
    <row r="14" spans="1:11">
      <c r="A14" s="5">
        <v>7</v>
      </c>
      <c r="B14" s="9" t="s">
        <v>21</v>
      </c>
      <c r="C14" s="9" t="s">
        <v>1</v>
      </c>
      <c r="D14" s="9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spans="1:11">
      <c r="A15" s="5"/>
      <c r="B15" s="6"/>
      <c r="C15" s="6">
        <v>0.85199999999999998</v>
      </c>
      <c r="D15" s="6">
        <v>20000</v>
      </c>
      <c r="E15" s="6">
        <v>0.77</v>
      </c>
      <c r="F15" s="6">
        <v>1</v>
      </c>
      <c r="G15" s="6" t="s">
        <v>36</v>
      </c>
      <c r="H15" s="6">
        <v>0</v>
      </c>
      <c r="I15" s="13">
        <v>0</v>
      </c>
      <c r="J15" s="6">
        <v>0</v>
      </c>
      <c r="K15" s="14" t="s">
        <v>21</v>
      </c>
    </row>
    <row r="16" spans="1:11">
      <c r="A16" s="5"/>
      <c r="B16" s="6"/>
      <c r="C16" s="6"/>
      <c r="D16" s="6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4 C5:AMJ5 B6:AMJ13 L14:AMJ14 F15:AMJ21 B16:E21 A22:AMJ1048576">
    <cfRule type="expression" dxfId="7" priority="2">
      <formula>MOD(ROW(),2)=0</formula>
    </cfRule>
  </conditionalFormatting>
  <conditionalFormatting sqref="B5">
    <cfRule type="expression" dxfId="6" priority="3">
      <formula>MOD(ROW(),2)=0</formula>
    </cfRule>
  </conditionalFormatting>
  <conditionalFormatting sqref="D14">
    <cfRule type="expression" dxfId="5" priority="4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K200"/>
  <sheetViews>
    <sheetView tabSelected="1" zoomScale="75" zoomScaleNormal="75" workbookViewId="0">
      <selection activeCell="J21" sqref="J21"/>
    </sheetView>
  </sheetViews>
  <sheetFormatPr defaultRowHeight="15.6"/>
  <cols>
    <col min="1" max="1" width="18" style="1" customWidth="1"/>
    <col min="2" max="2" width="21.296875" style="1" customWidth="1"/>
    <col min="3" max="3" width="15.19921875" style="1" customWidth="1"/>
    <col min="4" max="4" width="14" style="1" customWidth="1"/>
    <col min="5" max="5" width="17.796875" style="1" customWidth="1"/>
    <col min="6" max="6" width="16.5" style="1" customWidth="1"/>
    <col min="7" max="7" width="14.796875" style="1" customWidth="1"/>
    <col min="8" max="8" width="21.296875" style="1" customWidth="1"/>
    <col min="9" max="9" width="21.59765625" style="1" customWidth="1"/>
    <col min="10" max="10" width="40.5" style="1" customWidth="1"/>
    <col min="11" max="11" width="27.5" style="1" customWidth="1"/>
    <col min="12" max="1025" width="10.796875" style="1" customWidth="1"/>
  </cols>
  <sheetData>
    <row r="1" spans="1:11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spans="1:11">
      <c r="A2" s="10">
        <v>1</v>
      </c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4"/>
    </row>
    <row r="3" spans="1:11">
      <c r="A3" s="5"/>
      <c r="B3" s="5"/>
      <c r="C3" s="6">
        <v>1</v>
      </c>
      <c r="D3" s="6">
        <v>0</v>
      </c>
      <c r="E3" s="6" t="s">
        <v>36</v>
      </c>
      <c r="F3" s="6">
        <v>1.2</v>
      </c>
      <c r="G3" s="6">
        <v>0.08</v>
      </c>
      <c r="H3" s="6">
        <v>3.5000000000000003E-2</v>
      </c>
      <c r="I3" s="6">
        <v>2500</v>
      </c>
      <c r="J3" s="6" t="s">
        <v>45</v>
      </c>
      <c r="K3" s="6"/>
    </row>
    <row r="4" spans="1:11">
      <c r="A4" s="5">
        <v>2</v>
      </c>
      <c r="B4" s="7" t="s">
        <v>9</v>
      </c>
      <c r="C4" s="8" t="s">
        <v>1</v>
      </c>
      <c r="D4" s="8" t="s">
        <v>2</v>
      </c>
      <c r="E4" s="8" t="s">
        <v>4</v>
      </c>
      <c r="F4" s="8" t="s">
        <v>5</v>
      </c>
      <c r="G4" s="8" t="s">
        <v>6</v>
      </c>
      <c r="H4" s="8" t="s">
        <v>10</v>
      </c>
      <c r="I4" s="8" t="s">
        <v>8</v>
      </c>
      <c r="J4" s="8"/>
      <c r="K4" s="4"/>
    </row>
    <row r="5" spans="1:11">
      <c r="A5" s="5"/>
      <c r="B5" s="5"/>
      <c r="C5" s="6">
        <v>1</v>
      </c>
      <c r="D5" s="6">
        <v>0</v>
      </c>
      <c r="E5" s="6">
        <v>1.2</v>
      </c>
      <c r="F5" s="6">
        <v>1.2</v>
      </c>
      <c r="G5" s="6">
        <v>3.5000000000000003E-2</v>
      </c>
      <c r="H5" s="6">
        <v>1000</v>
      </c>
      <c r="I5" s="6" t="s">
        <v>49</v>
      </c>
      <c r="J5" s="6"/>
      <c r="K5" s="6"/>
    </row>
    <row r="6" spans="1:11">
      <c r="A6" s="5">
        <v>3</v>
      </c>
      <c r="B6" s="7" t="s">
        <v>11</v>
      </c>
      <c r="C6" s="8" t="s">
        <v>2</v>
      </c>
      <c r="D6" s="8" t="s">
        <v>4</v>
      </c>
      <c r="E6" s="8" t="s">
        <v>12</v>
      </c>
      <c r="F6" s="8" t="s">
        <v>8</v>
      </c>
      <c r="G6" s="8"/>
      <c r="H6" s="8"/>
      <c r="I6" s="8"/>
      <c r="J6" s="8"/>
      <c r="K6" s="4"/>
    </row>
    <row r="7" spans="1:11">
      <c r="A7" s="5"/>
      <c r="B7" s="5"/>
      <c r="C7" s="6">
        <v>0</v>
      </c>
      <c r="D7" s="6">
        <v>1.5</v>
      </c>
      <c r="E7" s="6">
        <v>88</v>
      </c>
      <c r="F7" s="6" t="s">
        <v>50</v>
      </c>
      <c r="G7" s="6"/>
      <c r="H7" s="6"/>
      <c r="I7" s="6"/>
      <c r="J7" s="6"/>
      <c r="K7" s="6"/>
    </row>
    <row r="8" spans="1:11">
      <c r="A8" s="5">
        <v>4</v>
      </c>
      <c r="B8" s="7" t="s">
        <v>13</v>
      </c>
      <c r="C8" s="8" t="s">
        <v>1</v>
      </c>
      <c r="D8" s="8" t="s">
        <v>2</v>
      </c>
      <c r="E8" s="8" t="s">
        <v>14</v>
      </c>
      <c r="F8" s="8" t="s">
        <v>15</v>
      </c>
      <c r="G8" s="8" t="s">
        <v>3</v>
      </c>
      <c r="H8" s="8" t="s">
        <v>16</v>
      </c>
      <c r="I8" s="8" t="s">
        <v>17</v>
      </c>
      <c r="J8" s="8" t="s">
        <v>18</v>
      </c>
      <c r="K8" s="8" t="s">
        <v>8</v>
      </c>
    </row>
    <row r="9" spans="1:11">
      <c r="A9" s="5"/>
      <c r="B9" s="5"/>
      <c r="C9" s="6">
        <v>0.85199999999999998</v>
      </c>
      <c r="D9" s="6">
        <v>45000</v>
      </c>
      <c r="E9" s="6">
        <v>0.75</v>
      </c>
      <c r="F9" s="6">
        <v>1</v>
      </c>
      <c r="G9" s="6" t="s">
        <v>36</v>
      </c>
      <c r="H9" s="1">
        <v>0</v>
      </c>
      <c r="I9" s="6">
        <v>0</v>
      </c>
      <c r="J9" s="6">
        <v>0</v>
      </c>
      <c r="K9" s="6" t="s">
        <v>46</v>
      </c>
    </row>
    <row r="10" spans="1:11">
      <c r="A10" s="5">
        <v>5</v>
      </c>
      <c r="B10" s="7" t="s">
        <v>19</v>
      </c>
      <c r="C10" s="8" t="s">
        <v>1</v>
      </c>
      <c r="D10" s="8" t="s">
        <v>2</v>
      </c>
      <c r="E10" s="8" t="s">
        <v>14</v>
      </c>
      <c r="F10" s="8" t="s">
        <v>15</v>
      </c>
      <c r="G10" s="8" t="s">
        <v>3</v>
      </c>
      <c r="H10" s="8" t="s">
        <v>16</v>
      </c>
      <c r="I10" s="8" t="s">
        <v>17</v>
      </c>
      <c r="J10" s="8" t="s">
        <v>18</v>
      </c>
      <c r="K10" s="8" t="s">
        <v>8</v>
      </c>
    </row>
    <row r="11" spans="1:11">
      <c r="A11" s="5"/>
      <c r="B11" s="5"/>
      <c r="C11" s="6">
        <v>0.85199999999999998</v>
      </c>
      <c r="D11" s="6">
        <v>35000</v>
      </c>
      <c r="E11" s="6">
        <v>0.75</v>
      </c>
      <c r="F11" s="6">
        <v>1</v>
      </c>
      <c r="G11" s="6" t="s">
        <v>36</v>
      </c>
      <c r="H11" s="6">
        <v>1.67</v>
      </c>
      <c r="I11" s="6">
        <v>0</v>
      </c>
      <c r="J11" s="6">
        <v>0</v>
      </c>
      <c r="K11" s="6" t="s">
        <v>47</v>
      </c>
    </row>
    <row r="12" spans="1:11">
      <c r="A12" s="5">
        <v>6</v>
      </c>
      <c r="B12" s="7" t="s">
        <v>20</v>
      </c>
      <c r="C12" s="8" t="s">
        <v>1</v>
      </c>
      <c r="D12" s="8" t="s">
        <v>2</v>
      </c>
      <c r="E12" s="8" t="s">
        <v>14</v>
      </c>
      <c r="F12" s="8" t="s">
        <v>15</v>
      </c>
      <c r="G12" s="8" t="s">
        <v>3</v>
      </c>
      <c r="H12" s="8" t="s">
        <v>16</v>
      </c>
      <c r="I12" s="8" t="s">
        <v>17</v>
      </c>
      <c r="J12" s="8" t="s">
        <v>18</v>
      </c>
      <c r="K12" s="8" t="s">
        <v>8</v>
      </c>
    </row>
    <row r="13" spans="1:11">
      <c r="A13" s="5"/>
      <c r="B13" s="5"/>
      <c r="C13" s="6">
        <v>0.85199999999999998</v>
      </c>
      <c r="D13" s="6">
        <v>25000</v>
      </c>
      <c r="E13" s="6">
        <v>0.75</v>
      </c>
      <c r="F13" s="6">
        <v>3</v>
      </c>
      <c r="G13" s="6" t="s">
        <v>36</v>
      </c>
      <c r="H13" s="6">
        <v>0</v>
      </c>
      <c r="I13" s="6">
        <v>0</v>
      </c>
      <c r="J13" s="6">
        <v>0</v>
      </c>
      <c r="K13" s="6" t="s">
        <v>48</v>
      </c>
    </row>
    <row r="14" spans="1:11">
      <c r="A14" s="5">
        <v>7</v>
      </c>
      <c r="B14" s="7" t="s">
        <v>21</v>
      </c>
      <c r="C14" s="8" t="s">
        <v>1</v>
      </c>
      <c r="D14" s="8" t="s">
        <v>2</v>
      </c>
      <c r="E14" s="8" t="s">
        <v>14</v>
      </c>
      <c r="F14" s="8" t="s">
        <v>15</v>
      </c>
      <c r="G14" s="8" t="s">
        <v>3</v>
      </c>
      <c r="H14" s="8" t="s">
        <v>16</v>
      </c>
      <c r="I14" s="8" t="s">
        <v>17</v>
      </c>
      <c r="J14" s="8" t="s">
        <v>18</v>
      </c>
      <c r="K14" s="8" t="s">
        <v>8</v>
      </c>
    </row>
    <row r="15" spans="1:11">
      <c r="A15" s="5"/>
      <c r="B15" s="5"/>
      <c r="C15" s="6">
        <v>0.85199999999999998</v>
      </c>
      <c r="D15" s="6">
        <v>35000</v>
      </c>
      <c r="E15" s="6">
        <v>0.95</v>
      </c>
      <c r="F15" s="6">
        <v>1</v>
      </c>
      <c r="G15" s="6" t="s">
        <v>36</v>
      </c>
      <c r="H15" s="6">
        <v>0</v>
      </c>
      <c r="I15" s="6">
        <v>0</v>
      </c>
      <c r="J15" s="6">
        <v>0</v>
      </c>
      <c r="K15" s="6" t="s">
        <v>51</v>
      </c>
    </row>
    <row r="16" spans="1:11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spans="1:11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spans="1:11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spans="1:11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spans="1:11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spans="1:11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spans="1:11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spans="1:11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spans="1:11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spans="1:11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spans="1:11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spans="1:11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spans="1:11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spans="1:11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spans="1:11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spans="1:11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spans="1:11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spans="1:11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spans="1:11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spans="1:11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spans="1:11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spans="1:11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spans="1:11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spans="1:11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spans="1:11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spans="1:11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spans="1:11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spans="1:11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spans="1:11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spans="1:11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spans="1:11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spans="1:11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spans="1:11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spans="1:11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spans="1:11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spans="1:11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spans="1:11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spans="1:11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spans="1:11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spans="1:11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spans="1:11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spans="1:11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spans="1:11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spans="1:11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spans="1:11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spans="1:11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spans="1:11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spans="1:11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spans="1:11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spans="1:11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spans="1:11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spans="1:11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spans="1:11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spans="1:11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spans="1:11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spans="1:11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spans="1:11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spans="1:11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spans="1:11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spans="1:11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spans="1:11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spans="1:11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spans="1:11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spans="1:11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spans="1:11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spans="1:11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spans="1:11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spans="1:11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spans="1:11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spans="1:11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spans="1:11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spans="1:11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spans="1:11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spans="1:11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spans="1:11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spans="1:11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spans="1:11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spans="1:11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spans="1:11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spans="1:11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spans="1:11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spans="1:11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spans="1:11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spans="1:11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spans="1:11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spans="1:11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spans="1:11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spans="1:11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spans="1:11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spans="1:11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spans="1:11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spans="1:11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spans="1:11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spans="1:11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spans="1:11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spans="1:11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spans="1:11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spans="1:11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spans="1:11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spans="1:11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spans="1:11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spans="1:11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spans="1:11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spans="1:11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spans="1:11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spans="1:11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spans="1:11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spans="1:11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spans="1:11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spans="1:11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spans="1:11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spans="1:11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spans="1:11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spans="1:11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spans="1:11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spans="1:11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spans="1:11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spans="1:11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spans="1:11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spans="1:11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spans="1:11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spans="1:11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spans="1:11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spans="1:11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spans="1:11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spans="1:11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spans="1:11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spans="1:11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spans="1:11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spans="1:11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spans="1:11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spans="1:11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spans="1:11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spans="1:11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spans="1:11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spans="1:11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spans="1:11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spans="1:11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spans="1:11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spans="1:11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spans="1:11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spans="1:11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spans="1:11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spans="1:11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spans="1:11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spans="1:11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spans="1:11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spans="1:11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spans="1:11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spans="1:11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spans="1:11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spans="1:11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spans="1:11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spans="1:11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spans="1:11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spans="1:11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spans="1:11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spans="1:11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spans="1:11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spans="1:11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spans="1:11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spans="1:11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spans="1:11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spans="1:11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spans="1:11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spans="1:11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spans="1:11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spans="1:11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spans="1:11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spans="1:11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spans="1:11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spans="1:11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spans="1:11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spans="1:11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spans="1:11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spans="1:11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spans="1:11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spans="1:11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spans="1:11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spans="1:11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spans="1:11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spans="1:11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spans="1:11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spans="1:11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spans="1:11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L2:AMJ15 D9:G9 I9:K9 H11 B16:AMJ21 A22:AMJ1048576">
    <cfRule type="expression" dxfId="4" priority="2">
      <formula>MOD(ROW(),2)=0</formula>
    </cfRule>
  </conditionalFormatting>
  <conditionalFormatting sqref="C6:J7">
    <cfRule type="expression" dxfId="3" priority="3">
      <formula>MOD(ROW(),2)=0</formula>
    </cfRule>
  </conditionalFormatting>
  <conditionalFormatting sqref="C2:K2 C3:G3 I3:K3 C4:K4 C5:F5 H5:K5 C8:K8 C10:K10 D11:K11 C12:K12 D13:K13 C14:K14 D15:K15">
    <cfRule type="expression" dxfId="2" priority="4">
      <formula>MOD(ROW(),2)=0</formula>
    </cfRule>
  </conditionalFormatting>
  <conditionalFormatting sqref="G5">
    <cfRule type="expression" dxfId="1" priority="5">
      <formula>MOD(ROW(),2)=0</formula>
    </cfRule>
  </conditionalFormatting>
  <conditionalFormatting sqref="H3">
    <cfRule type="expression" dxfId="0" priority="6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F16</vt:lpstr>
      <vt:lpstr>C172</vt:lpstr>
      <vt:lpstr>B747</vt:lpstr>
      <vt:lpstr>JetSubmersible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Morris</dc:creator>
  <dc:description/>
  <cp:lastModifiedBy>Daniel Gruenbauer</cp:lastModifiedBy>
  <cp:revision>14</cp:revision>
  <dcterms:created xsi:type="dcterms:W3CDTF">2024-11-07T17:59:15Z</dcterms:created>
  <dcterms:modified xsi:type="dcterms:W3CDTF">2026-10-04T01:10:56Z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